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\\fileserver\02_プロジェクト共有\022_CPM進捗管理システムPJ\ユーザー添付資料\"/>
    </mc:Choice>
  </mc:AlternateContent>
  <bookViews>
    <workbookView xWindow="0" yWindow="0" windowWidth="28800" windowHeight="12060"/>
  </bookViews>
  <sheets>
    <sheet name="連絡表" sheetId="9" r:id="rId1"/>
    <sheet name="取引先コード" sheetId="12" r:id="rId2"/>
    <sheet name="連絡表 (サンプル２)" sheetId="10" r:id="rId3"/>
    <sheet name="連絡表(ｻﾝﾌﾟﾙ)" sheetId="1" r:id="rId4"/>
  </sheets>
  <definedNames>
    <definedName name="_xlnm.Print_Area" localSheetId="0">連絡表!$B$1:$DZ$44</definedName>
    <definedName name="_xlnm.Print_Area" localSheetId="2">'連絡表 (サンプル２)'!$B$2:$EZ$44</definedName>
    <definedName name="_xlnm.Print_Area" localSheetId="3">'連絡表(ｻﾝﾌﾟﾙ)'!$B$2:$DZ$44</definedName>
  </definedNames>
  <calcPr calcId="152511"/>
</workbook>
</file>

<file path=xl/calcChain.xml><?xml version="1.0" encoding="utf-8"?>
<calcChain xmlns="http://schemas.openxmlformats.org/spreadsheetml/2006/main">
  <c r="AI2" i="9" l="1"/>
  <c r="M36" i="9" l="1"/>
  <c r="M37" i="9" s="1"/>
  <c r="Q35" i="10"/>
  <c r="M36" i="10"/>
  <c r="M37" i="10"/>
  <c r="M38" i="10" s="1"/>
  <c r="Q36" i="10"/>
  <c r="Q35" i="9"/>
  <c r="Q37" i="10"/>
  <c r="M39" i="10" l="1"/>
  <c r="Q38" i="10"/>
  <c r="Q36" i="9"/>
  <c r="M38" i="9"/>
  <c r="Q37" i="9"/>
  <c r="Q39" i="10" l="1"/>
  <c r="M40" i="10"/>
  <c r="Q38" i="9"/>
  <c r="M39" i="9"/>
  <c r="Q40" i="10" l="1"/>
  <c r="M41" i="10"/>
  <c r="Q39" i="9"/>
  <c r="M40" i="9"/>
  <c r="AA35" i="10" l="1"/>
  <c r="Q41" i="10"/>
  <c r="M41" i="9"/>
  <c r="Q40" i="9"/>
  <c r="AA36" i="10" l="1"/>
  <c r="AE35" i="10"/>
  <c r="AA35" i="9"/>
  <c r="Q41" i="9"/>
  <c r="AA37" i="10" l="1"/>
  <c r="AE36" i="10"/>
  <c r="AE35" i="9"/>
  <c r="AA36" i="9"/>
  <c r="AE37" i="10" l="1"/>
  <c r="AA38" i="10"/>
  <c r="AE36" i="9"/>
  <c r="AA37" i="9"/>
  <c r="AA39" i="10" l="1"/>
  <c r="AE38" i="10"/>
  <c r="AE37" i="9"/>
  <c r="AA38" i="9"/>
  <c r="AA40" i="10" l="1"/>
  <c r="AE39" i="10"/>
  <c r="AA39" i="9"/>
  <c r="AE38" i="9"/>
  <c r="AA41" i="10" l="1"/>
  <c r="AE40" i="10"/>
  <c r="AA40" i="9"/>
  <c r="AE39" i="9"/>
  <c r="AE41" i="10" l="1"/>
  <c r="AO35" i="10"/>
  <c r="AE40" i="9"/>
  <c r="AA41" i="9"/>
  <c r="AS35" i="10" l="1"/>
  <c r="AO36" i="10"/>
  <c r="AE41" i="9"/>
  <c r="AO35" i="9"/>
  <c r="AO37" i="10" l="1"/>
  <c r="AS36" i="10"/>
  <c r="AO36" i="9"/>
  <c r="AS35" i="9"/>
  <c r="AO38" i="10" l="1"/>
  <c r="AS37" i="10"/>
  <c r="AS36" i="9"/>
  <c r="AO37" i="9"/>
  <c r="AS38" i="10" l="1"/>
  <c r="AO39" i="10"/>
  <c r="AO38" i="9"/>
  <c r="AS37" i="9"/>
  <c r="AS39" i="10" l="1"/>
  <c r="AO40" i="10"/>
  <c r="AS38" i="9"/>
  <c r="AO39" i="9"/>
  <c r="AO41" i="10" l="1"/>
  <c r="AS40" i="10"/>
  <c r="AO40" i="9"/>
  <c r="AS39" i="9"/>
  <c r="BC35" i="10" l="1"/>
  <c r="AS41" i="10"/>
  <c r="AS40" i="9"/>
  <c r="AO41" i="9"/>
  <c r="BG35" i="10" l="1"/>
  <c r="BC36" i="10"/>
  <c r="AS41" i="9"/>
  <c r="BC35" i="9"/>
  <c r="BC37" i="10" l="1"/>
  <c r="BG36" i="10"/>
  <c r="BC36" i="9"/>
  <c r="BG35" i="9"/>
  <c r="BG37" i="10" l="1"/>
  <c r="BC38" i="10"/>
  <c r="BG36" i="9"/>
  <c r="BC37" i="9"/>
  <c r="BC39" i="10" l="1"/>
  <c r="BG38" i="10"/>
  <c r="BC38" i="9"/>
  <c r="BG37" i="9"/>
  <c r="BG39" i="10" l="1"/>
  <c r="BC40" i="10"/>
  <c r="BG38" i="9"/>
  <c r="BC39" i="9"/>
  <c r="BG40" i="10" l="1"/>
  <c r="BC41" i="10"/>
  <c r="BG39" i="9"/>
  <c r="BC40" i="9"/>
  <c r="BG41" i="10" l="1"/>
  <c r="BQ35" i="10"/>
  <c r="BC41" i="9"/>
  <c r="BG40" i="9"/>
  <c r="BU35" i="10" l="1"/>
  <c r="BQ36" i="10"/>
  <c r="BG41" i="9"/>
  <c r="BQ35" i="9"/>
  <c r="BU36" i="10" l="1"/>
  <c r="BQ37" i="10"/>
  <c r="BU35" i="9"/>
  <c r="BQ36" i="9"/>
  <c r="BQ38" i="10" l="1"/>
  <c r="BU37" i="10"/>
  <c r="BU36" i="9"/>
  <c r="BQ37" i="9"/>
  <c r="BQ39" i="10" l="1"/>
  <c r="BU38" i="10"/>
  <c r="BU37" i="9"/>
  <c r="BQ38" i="9"/>
  <c r="BU39" i="10" l="1"/>
  <c r="BQ40" i="10"/>
  <c r="BQ39" i="9"/>
  <c r="BU38" i="9"/>
  <c r="BU40" i="10" l="1"/>
  <c r="BQ41" i="10"/>
  <c r="BU39" i="9"/>
  <c r="BQ40" i="9"/>
  <c r="CE35" i="10" l="1"/>
  <c r="BU41" i="10"/>
  <c r="BU40" i="9"/>
  <c r="BQ41" i="9"/>
  <c r="CE36" i="10" l="1"/>
  <c r="CI35" i="10"/>
  <c r="CE35" i="9"/>
  <c r="BU41" i="9"/>
  <c r="CI36" i="10" l="1"/>
  <c r="CE37" i="10"/>
  <c r="CE36" i="9"/>
  <c r="CI35" i="9"/>
  <c r="CE38" i="10" l="1"/>
  <c r="CI37" i="10"/>
  <c r="CI36" i="9"/>
  <c r="CE37" i="9"/>
  <c r="CE39" i="10" l="1"/>
  <c r="CI38" i="10"/>
  <c r="CI37" i="9"/>
  <c r="CE38" i="9"/>
  <c r="CI39" i="10" l="1"/>
  <c r="CE40" i="10"/>
  <c r="CI38" i="9"/>
  <c r="CE39" i="9"/>
  <c r="CI40" i="10" l="1"/>
  <c r="CE41" i="10"/>
  <c r="CI41" i="10" s="1"/>
  <c r="CE40" i="9"/>
  <c r="CI39" i="9"/>
  <c r="CE41" i="9" l="1"/>
  <c r="CI41" i="9" s="1"/>
  <c r="CI40" i="9"/>
</calcChain>
</file>

<file path=xl/sharedStrings.xml><?xml version="1.0" encoding="utf-8"?>
<sst xmlns="http://schemas.openxmlformats.org/spreadsheetml/2006/main" count="2123" uniqueCount="825">
  <si>
    <t>品名</t>
    <rPh sb="0" eb="2">
      <t>ヒンメイ</t>
    </rPh>
    <phoneticPr fontId="2"/>
  </si>
  <si>
    <t>得意先</t>
    <rPh sb="0" eb="3">
      <t>トクイサキ</t>
    </rPh>
    <phoneticPr fontId="2"/>
  </si>
  <si>
    <t>担当者</t>
    <rPh sb="0" eb="3">
      <t>タントウシャ</t>
    </rPh>
    <phoneticPr fontId="2"/>
  </si>
  <si>
    <t>GOD-PUBコード名</t>
    <rPh sb="10" eb="11">
      <t>メイ</t>
    </rPh>
    <phoneticPr fontId="2"/>
  </si>
  <si>
    <t>印刷予備</t>
    <rPh sb="0" eb="2">
      <t>インサツ</t>
    </rPh>
    <rPh sb="2" eb="4">
      <t>ヨビ</t>
    </rPh>
    <phoneticPr fontId="2"/>
  </si>
  <si>
    <t>製本予備</t>
    <rPh sb="0" eb="2">
      <t>セイホン</t>
    </rPh>
    <rPh sb="2" eb="4">
      <t>ヨビ</t>
    </rPh>
    <phoneticPr fontId="2"/>
  </si>
  <si>
    <t>特色</t>
    <rPh sb="0" eb="2">
      <t>トクショク</t>
    </rPh>
    <phoneticPr fontId="2"/>
  </si>
  <si>
    <t>製版寸法</t>
    <rPh sb="0" eb="2">
      <t>セイハン</t>
    </rPh>
    <rPh sb="2" eb="4">
      <t>スンポウ</t>
    </rPh>
    <phoneticPr fontId="2"/>
  </si>
  <si>
    <t>仕上寸法</t>
    <rPh sb="0" eb="2">
      <t>シア</t>
    </rPh>
    <rPh sb="2" eb="4">
      <t>スンポウ</t>
    </rPh>
    <phoneticPr fontId="2"/>
  </si>
  <si>
    <t>断裁寸法</t>
    <rPh sb="0" eb="2">
      <t>ダンサイ</t>
    </rPh>
    <rPh sb="2" eb="4">
      <t>スンポウ</t>
    </rPh>
    <phoneticPr fontId="2"/>
  </si>
  <si>
    <t>納品先</t>
    <rPh sb="0" eb="2">
      <t>ノウヒン</t>
    </rPh>
    <rPh sb="2" eb="3">
      <t>サキ</t>
    </rPh>
    <phoneticPr fontId="2"/>
  </si>
  <si>
    <t>下版方法</t>
    <rPh sb="0" eb="1">
      <t>シタ</t>
    </rPh>
    <rPh sb="1" eb="2">
      <t>バン</t>
    </rPh>
    <rPh sb="2" eb="4">
      <t>ホウホウ</t>
    </rPh>
    <phoneticPr fontId="2"/>
  </si>
  <si>
    <t>仕様</t>
    <rPh sb="0" eb="2">
      <t>シヨウ</t>
    </rPh>
    <phoneticPr fontId="2"/>
  </si>
  <si>
    <t>号数</t>
    <rPh sb="0" eb="2">
      <t>ゴウスウ</t>
    </rPh>
    <phoneticPr fontId="2"/>
  </si>
  <si>
    <t>天地</t>
    <rPh sb="0" eb="2">
      <t>テンチ</t>
    </rPh>
    <phoneticPr fontId="2"/>
  </si>
  <si>
    <t>左右</t>
    <rPh sb="0" eb="2">
      <t>サユウ</t>
    </rPh>
    <phoneticPr fontId="2"/>
  </si>
  <si>
    <t>天</t>
    <rPh sb="0" eb="1">
      <t>テン</t>
    </rPh>
    <phoneticPr fontId="2"/>
  </si>
  <si>
    <t>地</t>
    <rPh sb="0" eb="1">
      <t>チ</t>
    </rPh>
    <phoneticPr fontId="2"/>
  </si>
  <si>
    <t>小口</t>
    <rPh sb="0" eb="2">
      <t>コグチ</t>
    </rPh>
    <phoneticPr fontId="2"/>
  </si>
  <si>
    <t>版種</t>
    <rPh sb="0" eb="1">
      <t>ハン</t>
    </rPh>
    <rPh sb="1" eb="2">
      <t>シュ</t>
    </rPh>
    <phoneticPr fontId="2"/>
  </si>
  <si>
    <t>折名</t>
    <rPh sb="0" eb="1">
      <t>オリ</t>
    </rPh>
    <rPh sb="1" eb="2">
      <t>メイ</t>
    </rPh>
    <phoneticPr fontId="2"/>
  </si>
  <si>
    <t>頁数</t>
    <rPh sb="0" eb="1">
      <t>ページ</t>
    </rPh>
    <rPh sb="1" eb="2">
      <t>スウ</t>
    </rPh>
    <phoneticPr fontId="2"/>
  </si>
  <si>
    <t>色数</t>
    <rPh sb="0" eb="1">
      <t>イロ</t>
    </rPh>
    <rPh sb="1" eb="2">
      <t>カズ</t>
    </rPh>
    <phoneticPr fontId="2"/>
  </si>
  <si>
    <t>印刷形態</t>
    <rPh sb="0" eb="2">
      <t>インサツ</t>
    </rPh>
    <rPh sb="2" eb="4">
      <t>ケイタイ</t>
    </rPh>
    <phoneticPr fontId="2"/>
  </si>
  <si>
    <t>台数</t>
    <rPh sb="0" eb="2">
      <t>ダイスウ</t>
    </rPh>
    <phoneticPr fontId="2"/>
  </si>
  <si>
    <t>印刷</t>
    <rPh sb="0" eb="2">
      <t>インサツ</t>
    </rPh>
    <phoneticPr fontId="2"/>
  </si>
  <si>
    <t>加工</t>
    <rPh sb="0" eb="2">
      <t>カコウ</t>
    </rPh>
    <phoneticPr fontId="2"/>
  </si>
  <si>
    <t>用紙名</t>
    <rPh sb="0" eb="3">
      <t>ヨウシメイ</t>
    </rPh>
    <phoneticPr fontId="2"/>
  </si>
  <si>
    <t>本数</t>
    <rPh sb="0" eb="2">
      <t>ホンスウ</t>
    </rPh>
    <phoneticPr fontId="2"/>
  </si>
  <si>
    <t>用紙店名</t>
    <rPh sb="0" eb="2">
      <t>ヨウシ</t>
    </rPh>
    <rPh sb="2" eb="4">
      <t>テンメイ</t>
    </rPh>
    <phoneticPr fontId="2"/>
  </si>
  <si>
    <t>斤量</t>
    <rPh sb="0" eb="2">
      <t>キンリョウ</t>
    </rPh>
    <phoneticPr fontId="2"/>
  </si>
  <si>
    <t>連数</t>
    <rPh sb="0" eb="1">
      <t>レン</t>
    </rPh>
    <rPh sb="1" eb="2">
      <t>スウ</t>
    </rPh>
    <phoneticPr fontId="2"/>
  </si>
  <si>
    <t>取数（面数）</t>
    <rPh sb="0" eb="1">
      <t>ト</t>
    </rPh>
    <rPh sb="1" eb="2">
      <t>スウ</t>
    </rPh>
    <rPh sb="3" eb="4">
      <t>メン</t>
    </rPh>
    <rPh sb="4" eb="5">
      <t>スウ</t>
    </rPh>
    <phoneticPr fontId="2"/>
  </si>
  <si>
    <t>印刷工場</t>
    <rPh sb="0" eb="2">
      <t>インサツ</t>
    </rPh>
    <rPh sb="2" eb="4">
      <t>コウジョウ</t>
    </rPh>
    <phoneticPr fontId="2"/>
  </si>
  <si>
    <t>通数</t>
    <rPh sb="0" eb="1">
      <t>トオ</t>
    </rPh>
    <rPh sb="1" eb="2">
      <t>スウ</t>
    </rPh>
    <phoneticPr fontId="2"/>
  </si>
  <si>
    <t>実数</t>
    <rPh sb="0" eb="2">
      <t>ジッスウ</t>
    </rPh>
    <phoneticPr fontId="2"/>
  </si>
  <si>
    <t>綴じ位置</t>
    <rPh sb="0" eb="1">
      <t>ト</t>
    </rPh>
    <rPh sb="2" eb="4">
      <t>イチ</t>
    </rPh>
    <phoneticPr fontId="2"/>
  </si>
  <si>
    <t>断ち代</t>
    <rPh sb="0" eb="1">
      <t>タ</t>
    </rPh>
    <rPh sb="2" eb="3">
      <t>シロ</t>
    </rPh>
    <phoneticPr fontId="2"/>
  </si>
  <si>
    <t>方断</t>
    <rPh sb="0" eb="1">
      <t>ホウ</t>
    </rPh>
    <rPh sb="1" eb="2">
      <t>タ</t>
    </rPh>
    <phoneticPr fontId="2"/>
  </si>
  <si>
    <t>製版内容</t>
    <rPh sb="0" eb="2">
      <t>セイハン</t>
    </rPh>
    <rPh sb="2" eb="4">
      <t>ナイヨウ</t>
    </rPh>
    <phoneticPr fontId="2"/>
  </si>
  <si>
    <t>加工内容</t>
    <rPh sb="0" eb="2">
      <t>カコウ</t>
    </rPh>
    <rPh sb="2" eb="4">
      <t>ナイヨウ</t>
    </rPh>
    <phoneticPr fontId="2"/>
  </si>
  <si>
    <t>発注先</t>
    <rPh sb="0" eb="2">
      <t>ハッチュウ</t>
    </rPh>
    <rPh sb="2" eb="3">
      <t>サキ</t>
    </rPh>
    <phoneticPr fontId="2"/>
  </si>
  <si>
    <t>備考</t>
    <rPh sb="0" eb="2">
      <t>ビコウ</t>
    </rPh>
    <phoneticPr fontId="2"/>
  </si>
  <si>
    <t>製本</t>
    <rPh sb="0" eb="2">
      <t>セイホン</t>
    </rPh>
    <phoneticPr fontId="2"/>
  </si>
  <si>
    <t>加工所</t>
    <rPh sb="0" eb="2">
      <t>カコウ</t>
    </rPh>
    <rPh sb="2" eb="3">
      <t>ジョ</t>
    </rPh>
    <phoneticPr fontId="2"/>
  </si>
  <si>
    <t>製本所</t>
    <rPh sb="0" eb="2">
      <t>セイホン</t>
    </rPh>
    <rPh sb="2" eb="3">
      <t>ジョ</t>
    </rPh>
    <phoneticPr fontId="2"/>
  </si>
  <si>
    <t>部数振分</t>
    <rPh sb="0" eb="2">
      <t>ブスウ</t>
    </rPh>
    <rPh sb="2" eb="3">
      <t>フ</t>
    </rPh>
    <rPh sb="3" eb="4">
      <t>ワ</t>
    </rPh>
    <phoneticPr fontId="2"/>
  </si>
  <si>
    <t>納本指定</t>
    <rPh sb="0" eb="2">
      <t>ノウホン</t>
    </rPh>
    <rPh sb="2" eb="4">
      <t>シテイ</t>
    </rPh>
    <phoneticPr fontId="2"/>
  </si>
  <si>
    <t>発効日</t>
    <rPh sb="0" eb="3">
      <t>ハッコウビ</t>
    </rPh>
    <phoneticPr fontId="2"/>
  </si>
  <si>
    <t>№</t>
    <phoneticPr fontId="2"/>
  </si>
  <si>
    <t>のど</t>
    <phoneticPr fontId="2"/>
  </si>
  <si>
    <t>×</t>
    <phoneticPr fontId="2"/>
  </si>
  <si>
    <t>×</t>
    <phoneticPr fontId="2"/>
  </si>
  <si>
    <t>サイズ</t>
    <phoneticPr fontId="2"/>
  </si>
  <si>
    <t>P</t>
    <phoneticPr fontId="2"/>
  </si>
  <si>
    <t>C</t>
    <phoneticPr fontId="2"/>
  </si>
  <si>
    <t>部数</t>
    <rPh sb="0" eb="2">
      <t>ブスウ</t>
    </rPh>
    <phoneticPr fontId="2"/>
  </si>
  <si>
    <t>納本分</t>
    <rPh sb="0" eb="1">
      <t>ノウ</t>
    </rPh>
    <rPh sb="1" eb="3">
      <t>ホンブン</t>
    </rPh>
    <phoneticPr fontId="2"/>
  </si>
  <si>
    <t>本社分</t>
    <rPh sb="0" eb="2">
      <t>ホンシャ</t>
    </rPh>
    <rPh sb="2" eb="3">
      <t>ブン</t>
    </rPh>
    <phoneticPr fontId="2"/>
  </si>
  <si>
    <t>見本</t>
    <rPh sb="0" eb="2">
      <t>ミホン</t>
    </rPh>
    <phoneticPr fontId="2"/>
  </si>
  <si>
    <t>月</t>
    <rPh sb="0" eb="1">
      <t>ゲツ</t>
    </rPh>
    <phoneticPr fontId="2"/>
  </si>
  <si>
    <t>火</t>
    <rPh sb="0" eb="1">
      <t>ヒ</t>
    </rPh>
    <phoneticPr fontId="2"/>
  </si>
  <si>
    <t>水</t>
    <rPh sb="0" eb="1">
      <t>スイ</t>
    </rPh>
    <phoneticPr fontId="2"/>
  </si>
  <si>
    <t>木</t>
    <rPh sb="0" eb="1">
      <t>モク</t>
    </rPh>
    <phoneticPr fontId="2"/>
  </si>
  <si>
    <t>金</t>
    <rPh sb="0" eb="1">
      <t>キン</t>
    </rPh>
    <phoneticPr fontId="2"/>
  </si>
  <si>
    <t>土</t>
    <rPh sb="0" eb="1">
      <t>ツチ</t>
    </rPh>
    <phoneticPr fontId="2"/>
  </si>
  <si>
    <t>日</t>
    <rPh sb="0" eb="1">
      <t>ニチ</t>
    </rPh>
    <phoneticPr fontId="2"/>
  </si>
  <si>
    <t>進行
ｽｹｼﾞｭｰﾙ</t>
    <rPh sb="0" eb="2">
      <t>シンコウ</t>
    </rPh>
    <phoneticPr fontId="2"/>
  </si>
  <si>
    <t>更新者</t>
    <rPh sb="0" eb="3">
      <t>コウシンシャ</t>
    </rPh>
    <phoneticPr fontId="2"/>
  </si>
  <si>
    <t>※再発行の場合は変更箇所を赤字で表記して下さい。</t>
    <rPh sb="1" eb="4">
      <t>サイハッコウ</t>
    </rPh>
    <rPh sb="5" eb="7">
      <t>バアイ</t>
    </rPh>
    <rPh sb="8" eb="10">
      <t>ヘンコウ</t>
    </rPh>
    <rPh sb="10" eb="12">
      <t>カショ</t>
    </rPh>
    <rPh sb="13" eb="15">
      <t>アカジ</t>
    </rPh>
    <rPh sb="16" eb="18">
      <t>ヒョウキ</t>
    </rPh>
    <rPh sb="20" eb="21">
      <t>クダ</t>
    </rPh>
    <phoneticPr fontId="2"/>
  </si>
  <si>
    <t>※工程がない場合のみ空白にして下さい、未決定の場合は未定と表記して下さい。</t>
    <rPh sb="1" eb="3">
      <t>コウテイ</t>
    </rPh>
    <rPh sb="6" eb="8">
      <t>バアイ</t>
    </rPh>
    <rPh sb="10" eb="12">
      <t>クウハク</t>
    </rPh>
    <rPh sb="15" eb="16">
      <t>クダ</t>
    </rPh>
    <rPh sb="19" eb="22">
      <t>ミケッテイ</t>
    </rPh>
    <rPh sb="23" eb="25">
      <t>バアイ</t>
    </rPh>
    <rPh sb="26" eb="28">
      <t>ミテイ</t>
    </rPh>
    <rPh sb="29" eb="31">
      <t>ヒョウキ</t>
    </rPh>
    <rPh sb="33" eb="34">
      <t>クダ</t>
    </rPh>
    <phoneticPr fontId="2"/>
  </si>
  <si>
    <t>×</t>
    <phoneticPr fontId="2"/>
  </si>
  <si>
    <t>のど</t>
    <phoneticPr fontId="2"/>
  </si>
  <si>
    <t>×</t>
    <phoneticPr fontId="2"/>
  </si>
  <si>
    <t>受注連絡表</t>
    <rPh sb="0" eb="2">
      <t>ジュチュウ</t>
    </rPh>
    <rPh sb="2" eb="4">
      <t>レンラク</t>
    </rPh>
    <rPh sb="4" eb="5">
      <t>ヒョウ</t>
    </rPh>
    <phoneticPr fontId="2"/>
  </si>
  <si>
    <t>ST</t>
    <phoneticPr fontId="2"/>
  </si>
  <si>
    <t>㈱交通新聞社</t>
    <rPh sb="1" eb="3">
      <t>コウツウ</t>
    </rPh>
    <rPh sb="3" eb="6">
      <t>シンブンシャ</t>
    </rPh>
    <phoneticPr fontId="2"/>
  </si>
  <si>
    <t>散歩の達人</t>
    <rPh sb="0" eb="2">
      <t>サンポ</t>
    </rPh>
    <rPh sb="3" eb="5">
      <t>タツジン</t>
    </rPh>
    <phoneticPr fontId="2"/>
  </si>
  <si>
    <t>ﾏﾏ散歩</t>
    <rPh sb="2" eb="4">
      <t>サンポ</t>
    </rPh>
    <phoneticPr fontId="2"/>
  </si>
  <si>
    <t>吉野</t>
    <rPh sb="0" eb="2">
      <t>ヨシノ</t>
    </rPh>
    <phoneticPr fontId="2"/>
  </si>
  <si>
    <t>右</t>
    <rPh sb="0" eb="1">
      <t>ミギ</t>
    </rPh>
    <phoneticPr fontId="2"/>
  </si>
  <si>
    <t>無線</t>
    <rPh sb="0" eb="2">
      <t>ムセン</t>
    </rPh>
    <phoneticPr fontId="2"/>
  </si>
  <si>
    <t>社内製版</t>
    <rPh sb="0" eb="2">
      <t>シャナイ</t>
    </rPh>
    <rPh sb="2" eb="4">
      <t>セイハン</t>
    </rPh>
    <phoneticPr fontId="2"/>
  </si>
  <si>
    <t>CTP</t>
    <phoneticPr fontId="2"/>
  </si>
  <si>
    <t>未</t>
    <rPh sb="0" eb="1">
      <t>ミ</t>
    </rPh>
    <phoneticPr fontId="2"/>
  </si>
  <si>
    <t>決</t>
    <rPh sb="0" eb="1">
      <t>ケツ</t>
    </rPh>
    <phoneticPr fontId="2"/>
  </si>
  <si>
    <t>表紙</t>
    <rPh sb="0" eb="2">
      <t>ヒョウシ</t>
    </rPh>
    <phoneticPr fontId="2"/>
  </si>
  <si>
    <t>本文</t>
    <rPh sb="0" eb="2">
      <t>ホンブン</t>
    </rPh>
    <phoneticPr fontId="2"/>
  </si>
  <si>
    <t>付録</t>
    <rPh sb="0" eb="2">
      <t>フロク</t>
    </rPh>
    <phoneticPr fontId="2"/>
  </si>
  <si>
    <t>A4変</t>
    <rPh sb="2" eb="3">
      <t>ヘン</t>
    </rPh>
    <phoneticPr fontId="2"/>
  </si>
  <si>
    <t>ｽﾘｯﾌﾟ</t>
    <phoneticPr fontId="2"/>
  </si>
  <si>
    <t>DIC 110</t>
    <phoneticPr fontId="2"/>
  </si>
  <si>
    <t>オフ</t>
    <phoneticPr fontId="2"/>
  </si>
  <si>
    <t>枚葉</t>
    <rPh sb="0" eb="1">
      <t>マイ</t>
    </rPh>
    <rPh sb="1" eb="2">
      <t>ヨウ</t>
    </rPh>
    <phoneticPr fontId="2"/>
  </si>
  <si>
    <t>輪転</t>
    <rPh sb="0" eb="2">
      <t>リンテン</t>
    </rPh>
    <phoneticPr fontId="2"/>
  </si>
  <si>
    <t>ｸﾞﾛｽPP</t>
    <phoneticPr fontId="2"/>
  </si>
  <si>
    <t>ﾐｭｰﾏｯﾄ</t>
    <phoneticPr fontId="2"/>
  </si>
  <si>
    <t>ｴﾅｼﾞｰｼﾙｸS</t>
    <phoneticPr fontId="2"/>
  </si>
  <si>
    <t>雷鳥ﾏｯﾄ</t>
    <rPh sb="0" eb="2">
      <t>ライチョウ</t>
    </rPh>
    <phoneticPr fontId="2"/>
  </si>
  <si>
    <t>上質</t>
    <rPh sb="0" eb="2">
      <t>ジョウシツ</t>
    </rPh>
    <phoneticPr fontId="2"/>
  </si>
  <si>
    <t>菊Y</t>
    <rPh sb="0" eb="1">
      <t>キク</t>
    </rPh>
    <phoneticPr fontId="2"/>
  </si>
  <si>
    <t>AY</t>
    <phoneticPr fontId="2"/>
  </si>
  <si>
    <t>A/Y巻</t>
    <rPh sb="3" eb="4">
      <t>マキ</t>
    </rPh>
    <phoneticPr fontId="2"/>
  </si>
  <si>
    <t>R</t>
    <phoneticPr fontId="2"/>
  </si>
  <si>
    <t>ｺｳﾊﾝ</t>
    <phoneticPr fontId="2"/>
  </si>
  <si>
    <t>ｼｵｻﾞﾜ</t>
    <phoneticPr fontId="2"/>
  </si>
  <si>
    <t>全</t>
    <rPh sb="0" eb="1">
      <t>ゼン</t>
    </rPh>
    <phoneticPr fontId="2"/>
  </si>
  <si>
    <t>半才</t>
    <rPh sb="0" eb="1">
      <t>ハン</t>
    </rPh>
    <rPh sb="1" eb="2">
      <t>サイ</t>
    </rPh>
    <phoneticPr fontId="2"/>
  </si>
  <si>
    <t>先方</t>
    <rPh sb="0" eb="2">
      <t>センポウ</t>
    </rPh>
    <phoneticPr fontId="2"/>
  </si>
  <si>
    <t>当方</t>
    <rPh sb="0" eb="1">
      <t>トウ</t>
    </rPh>
    <rPh sb="1" eb="2">
      <t>ホウ</t>
    </rPh>
    <phoneticPr fontId="2"/>
  </si>
  <si>
    <t>ｺｳﾊﾝ</t>
    <phoneticPr fontId="2"/>
  </si>
  <si>
    <t>越谷</t>
    <rPh sb="0" eb="2">
      <t>コシガヤ</t>
    </rPh>
    <phoneticPr fontId="2"/>
  </si>
  <si>
    <t>外注</t>
    <rPh sb="0" eb="2">
      <t>ガイチュウ</t>
    </rPh>
    <phoneticPr fontId="2"/>
  </si>
  <si>
    <t>大崎</t>
    <rPh sb="0" eb="2">
      <t>オオサキ</t>
    </rPh>
    <phoneticPr fontId="2"/>
  </si>
  <si>
    <t>末広印刷</t>
    <rPh sb="0" eb="2">
      <t>スエヒロ</t>
    </rPh>
    <rPh sb="2" eb="4">
      <t>インサツ</t>
    </rPh>
    <phoneticPr fontId="2"/>
  </si>
  <si>
    <t>表ｸﾞﾛｽPP加工</t>
    <rPh sb="0" eb="1">
      <t>オモテ</t>
    </rPh>
    <rPh sb="7" eb="9">
      <t>カコウ</t>
    </rPh>
    <phoneticPr fontId="2"/>
  </si>
  <si>
    <t>二つ折加工</t>
    <rPh sb="0" eb="1">
      <t>フタ</t>
    </rPh>
    <rPh sb="2" eb="3">
      <t>オリ</t>
    </rPh>
    <rPh sb="3" eb="5">
      <t>カコウ</t>
    </rPh>
    <phoneticPr fontId="2"/>
  </si>
  <si>
    <t>宏和樹脂</t>
    <rPh sb="0" eb="1">
      <t>ヒロ</t>
    </rPh>
    <rPh sb="1" eb="2">
      <t>ワ</t>
    </rPh>
    <rPh sb="2" eb="4">
      <t>ジュシ</t>
    </rPh>
    <phoneticPr fontId="2"/>
  </si>
  <si>
    <t>長屋紙工</t>
    <rPh sb="0" eb="2">
      <t>ナガヤ</t>
    </rPh>
    <rPh sb="2" eb="4">
      <t>シコウ</t>
    </rPh>
    <phoneticPr fontId="2"/>
  </si>
  <si>
    <t>西村製本</t>
    <rPh sb="0" eb="2">
      <t>ニシムラ</t>
    </rPh>
    <rPh sb="2" eb="4">
      <t>セイホン</t>
    </rPh>
    <phoneticPr fontId="2"/>
  </si>
  <si>
    <t>藤田製本</t>
    <rPh sb="0" eb="2">
      <t>フジタ</t>
    </rPh>
    <rPh sb="2" eb="4">
      <t>セイホン</t>
    </rPh>
    <phoneticPr fontId="2"/>
  </si>
  <si>
    <t>　　6折に付録 貼込</t>
    <rPh sb="3" eb="4">
      <t>オリ</t>
    </rPh>
    <rPh sb="5" eb="7">
      <t>フロク</t>
    </rPh>
    <rPh sb="8" eb="9">
      <t>ハ</t>
    </rPh>
    <rPh sb="9" eb="10">
      <t>コ</t>
    </rPh>
    <phoneticPr fontId="2"/>
  </si>
  <si>
    <t>配本表参照</t>
    <rPh sb="0" eb="2">
      <t>ハイホン</t>
    </rPh>
    <rPh sb="2" eb="3">
      <t>ヒョウ</t>
    </rPh>
    <rPh sb="3" eb="5">
      <t>サンショウ</t>
    </rPh>
    <phoneticPr fontId="2"/>
  </si>
  <si>
    <t>入稿～</t>
    <rPh sb="0" eb="2">
      <t>ニュウコウ</t>
    </rPh>
    <phoneticPr fontId="2"/>
  </si>
  <si>
    <t>～出校</t>
    <rPh sb="1" eb="2">
      <t>デ</t>
    </rPh>
    <rPh sb="2" eb="3">
      <t>コウ</t>
    </rPh>
    <phoneticPr fontId="2"/>
  </si>
  <si>
    <t>戻し</t>
    <rPh sb="0" eb="1">
      <t>モド</t>
    </rPh>
    <phoneticPr fontId="2"/>
  </si>
  <si>
    <t>再校</t>
    <rPh sb="0" eb="1">
      <t>サイ</t>
    </rPh>
    <rPh sb="1" eb="2">
      <t>コウ</t>
    </rPh>
    <phoneticPr fontId="2"/>
  </si>
  <si>
    <t>校了</t>
    <rPh sb="0" eb="2">
      <t>コウリョウ</t>
    </rPh>
    <phoneticPr fontId="2"/>
  </si>
  <si>
    <t>下版</t>
    <rPh sb="0" eb="1">
      <t>ゲ</t>
    </rPh>
    <rPh sb="1" eb="2">
      <t>ハン</t>
    </rPh>
    <phoneticPr fontId="2"/>
  </si>
  <si>
    <t>下阪</t>
    <rPh sb="0" eb="2">
      <t>ゲハン</t>
    </rPh>
    <phoneticPr fontId="2"/>
  </si>
  <si>
    <t>PP加工</t>
    <rPh sb="2" eb="4">
      <t>カコウ</t>
    </rPh>
    <phoneticPr fontId="2"/>
  </si>
  <si>
    <t>折加工</t>
    <rPh sb="0" eb="1">
      <t>オリ</t>
    </rPh>
    <rPh sb="1" eb="3">
      <t>カコウ</t>
    </rPh>
    <phoneticPr fontId="2"/>
  </si>
  <si>
    <t>製本日</t>
    <rPh sb="0" eb="2">
      <t>セイホン</t>
    </rPh>
    <rPh sb="2" eb="3">
      <t>ビ</t>
    </rPh>
    <phoneticPr fontId="2"/>
  </si>
  <si>
    <t>見本出し</t>
    <rPh sb="0" eb="2">
      <t>ミホン</t>
    </rPh>
    <rPh sb="2" eb="3">
      <t>ダ</t>
    </rPh>
    <phoneticPr fontId="2"/>
  </si>
  <si>
    <t>配本日</t>
    <rPh sb="0" eb="2">
      <t>ハイホン</t>
    </rPh>
    <rPh sb="2" eb="3">
      <t>ビ</t>
    </rPh>
    <phoneticPr fontId="2"/>
  </si>
  <si>
    <t>発売日</t>
    <rPh sb="0" eb="3">
      <t>ハツバイビ</t>
    </rPh>
    <phoneticPr fontId="2"/>
  </si>
  <si>
    <t>仮発注書</t>
    <rPh sb="0" eb="1">
      <t>カリ</t>
    </rPh>
    <rPh sb="1" eb="3">
      <t>ハッチュウ</t>
    </rPh>
    <rPh sb="3" eb="4">
      <t>ショ</t>
    </rPh>
    <phoneticPr fontId="2"/>
  </si>
  <si>
    <t>左</t>
    <rPh sb="0" eb="1">
      <t>ヒダリ</t>
    </rPh>
    <phoneticPr fontId="2"/>
  </si>
  <si>
    <t>中</t>
    <rPh sb="0" eb="1">
      <t>ナカ</t>
    </rPh>
    <phoneticPr fontId="2"/>
  </si>
  <si>
    <t>データ受</t>
    <rPh sb="3" eb="4">
      <t>ウ</t>
    </rPh>
    <phoneticPr fontId="2"/>
  </si>
  <si>
    <t>フィルム受</t>
    <rPh sb="4" eb="5">
      <t>ウ</t>
    </rPh>
    <phoneticPr fontId="2"/>
  </si>
  <si>
    <t>PS版</t>
    <rPh sb="2" eb="3">
      <t>バン</t>
    </rPh>
    <phoneticPr fontId="2"/>
  </si>
  <si>
    <t>データ渡し</t>
    <rPh sb="3" eb="4">
      <t>ワタ</t>
    </rPh>
    <phoneticPr fontId="2"/>
  </si>
  <si>
    <t>フィルム刷版</t>
    <rPh sb="4" eb="6">
      <t>サッパン</t>
    </rPh>
    <phoneticPr fontId="2"/>
  </si>
  <si>
    <t>枚葉</t>
    <rPh sb="0" eb="1">
      <t>マイ</t>
    </rPh>
    <rPh sb="1" eb="2">
      <t>ハ</t>
    </rPh>
    <phoneticPr fontId="2"/>
  </si>
  <si>
    <t>当方</t>
    <rPh sb="0" eb="2">
      <t>トウホウ</t>
    </rPh>
    <phoneticPr fontId="2"/>
  </si>
  <si>
    <t>半才</t>
    <rPh sb="0" eb="2">
      <t>ハンサイ</t>
    </rPh>
    <phoneticPr fontId="2"/>
  </si>
  <si>
    <t>潮来</t>
    <rPh sb="0" eb="2">
      <t>イタコ</t>
    </rPh>
    <phoneticPr fontId="2"/>
  </si>
  <si>
    <t>その他</t>
    <rPh sb="2" eb="3">
      <t>タ</t>
    </rPh>
    <phoneticPr fontId="2"/>
  </si>
  <si>
    <t>別紙参照</t>
    <rPh sb="0" eb="2">
      <t>ベッシ</t>
    </rPh>
    <rPh sb="2" eb="4">
      <t>サンショウ</t>
    </rPh>
    <phoneticPr fontId="2"/>
  </si>
  <si>
    <t>無線</t>
    <rPh sb="0" eb="1">
      <t>ム</t>
    </rPh>
    <rPh sb="1" eb="2">
      <t>セン</t>
    </rPh>
    <phoneticPr fontId="2"/>
  </si>
  <si>
    <t>○</t>
    <phoneticPr fontId="2"/>
  </si>
  <si>
    <t>受注連絡表（仕様書）</t>
    <rPh sb="0" eb="2">
      <t>ジュチュウ</t>
    </rPh>
    <rPh sb="2" eb="4">
      <t>レンラク</t>
    </rPh>
    <rPh sb="4" eb="5">
      <t>ヒョウ</t>
    </rPh>
    <rPh sb="6" eb="8">
      <t>シヨウ</t>
    </rPh>
    <rPh sb="8" eb="9">
      <t>ショ</t>
    </rPh>
    <phoneticPr fontId="2"/>
  </si>
  <si>
    <t>貝塚　之男</t>
    <rPh sb="0" eb="2">
      <t>カイツカ</t>
    </rPh>
    <rPh sb="3" eb="5">
      <t>ユキオ</t>
    </rPh>
    <phoneticPr fontId="2"/>
  </si>
  <si>
    <t>松本　盛一</t>
    <phoneticPr fontId="2"/>
  </si>
  <si>
    <t>三好　励</t>
    <phoneticPr fontId="2"/>
  </si>
  <si>
    <t>上神谷　勝</t>
    <phoneticPr fontId="2"/>
  </si>
  <si>
    <t>小薬　貴雄</t>
    <phoneticPr fontId="2"/>
  </si>
  <si>
    <t>尾花　康行</t>
    <phoneticPr fontId="2"/>
  </si>
  <si>
    <t>吉野　公貴</t>
    <phoneticPr fontId="2"/>
  </si>
  <si>
    <t>平出　将行</t>
    <phoneticPr fontId="2"/>
  </si>
  <si>
    <t>丸瀬　篤史</t>
    <phoneticPr fontId="2"/>
  </si>
  <si>
    <t>阿部　純子</t>
    <phoneticPr fontId="2"/>
  </si>
  <si>
    <t>大久保　貴子</t>
    <phoneticPr fontId="2"/>
  </si>
  <si>
    <t>竹山　直孝</t>
    <phoneticPr fontId="2"/>
  </si>
  <si>
    <t>鈴木　泰典</t>
    <phoneticPr fontId="2"/>
  </si>
  <si>
    <t>芝　葵</t>
    <phoneticPr fontId="2"/>
  </si>
  <si>
    <t>生産管理</t>
    <rPh sb="0" eb="2">
      <t>セイサン</t>
    </rPh>
    <rPh sb="2" eb="4">
      <t>カンリ</t>
    </rPh>
    <phoneticPr fontId="2"/>
  </si>
  <si>
    <t>№</t>
    <phoneticPr fontId="2"/>
  </si>
  <si>
    <t>FSC</t>
    <phoneticPr fontId="2"/>
  </si>
  <si>
    <t>サイズ</t>
    <phoneticPr fontId="2"/>
  </si>
  <si>
    <t>P</t>
    <phoneticPr fontId="2"/>
  </si>
  <si>
    <t>C</t>
    <phoneticPr fontId="2"/>
  </si>
  <si>
    <t>×</t>
    <phoneticPr fontId="2"/>
  </si>
  <si>
    <t>R</t>
    <phoneticPr fontId="2"/>
  </si>
  <si>
    <t>あじろ</t>
    <phoneticPr fontId="2"/>
  </si>
  <si>
    <t>カガリ</t>
    <phoneticPr fontId="2"/>
  </si>
  <si>
    <t>P</t>
    <phoneticPr fontId="2"/>
  </si>
  <si>
    <t>C</t>
    <phoneticPr fontId="2"/>
  </si>
  <si>
    <t>×</t>
    <phoneticPr fontId="2"/>
  </si>
  <si>
    <t>R</t>
    <phoneticPr fontId="2"/>
  </si>
  <si>
    <t>ヘリオ</t>
    <phoneticPr fontId="2"/>
  </si>
  <si>
    <t>CTP</t>
    <phoneticPr fontId="2"/>
  </si>
  <si>
    <t>P</t>
    <phoneticPr fontId="2"/>
  </si>
  <si>
    <t>C</t>
    <phoneticPr fontId="2"/>
  </si>
  <si>
    <t>×</t>
    <phoneticPr fontId="2"/>
  </si>
  <si>
    <t>R</t>
    <phoneticPr fontId="2"/>
  </si>
  <si>
    <t>　　</t>
    <phoneticPr fontId="2"/>
  </si>
  <si>
    <t>　　</t>
    <phoneticPr fontId="2"/>
  </si>
  <si>
    <t>ｵﾌ</t>
    <phoneticPr fontId="2"/>
  </si>
  <si>
    <t>ｸﾞﾗ</t>
    <phoneticPr fontId="2"/>
  </si>
  <si>
    <t>　　</t>
    <phoneticPr fontId="2"/>
  </si>
  <si>
    <t>　　</t>
    <phoneticPr fontId="2"/>
  </si>
  <si>
    <t>　　</t>
    <phoneticPr fontId="2"/>
  </si>
  <si>
    <t>月末日締</t>
    <rPh sb="0" eb="3">
      <t>ガツマツジツ</t>
    </rPh>
    <rPh sb="3" eb="4">
      <t>ジ</t>
    </rPh>
    <phoneticPr fontId="2"/>
  </si>
  <si>
    <t>請求月</t>
    <phoneticPr fontId="2"/>
  </si>
  <si>
    <t>四才</t>
    <rPh sb="0" eb="1">
      <t>4</t>
    </rPh>
    <rPh sb="1" eb="2">
      <t>サイ</t>
    </rPh>
    <phoneticPr fontId="2"/>
  </si>
  <si>
    <t>工場</t>
    <rPh sb="0" eb="2">
      <t>コウジョウ</t>
    </rPh>
    <phoneticPr fontId="2"/>
  </si>
  <si>
    <t>規格</t>
    <rPh sb="0" eb="2">
      <t>キカク</t>
    </rPh>
    <phoneticPr fontId="2"/>
  </si>
  <si>
    <t>FSC</t>
    <phoneticPr fontId="2"/>
  </si>
  <si>
    <t>あじろ</t>
    <phoneticPr fontId="2"/>
  </si>
  <si>
    <t>P</t>
    <phoneticPr fontId="2"/>
  </si>
  <si>
    <t>C</t>
    <phoneticPr fontId="2"/>
  </si>
  <si>
    <t>×</t>
    <phoneticPr fontId="2"/>
  </si>
  <si>
    <t>カガリ</t>
    <phoneticPr fontId="2"/>
  </si>
  <si>
    <t>○</t>
    <phoneticPr fontId="2"/>
  </si>
  <si>
    <t>P</t>
    <phoneticPr fontId="2"/>
  </si>
  <si>
    <t>C</t>
    <phoneticPr fontId="2"/>
  </si>
  <si>
    <t>P</t>
    <phoneticPr fontId="2"/>
  </si>
  <si>
    <t>C</t>
    <phoneticPr fontId="2"/>
  </si>
  <si>
    <t>×</t>
    <phoneticPr fontId="2"/>
  </si>
  <si>
    <t>R</t>
    <phoneticPr fontId="2"/>
  </si>
  <si>
    <t>P</t>
    <phoneticPr fontId="2"/>
  </si>
  <si>
    <t>C</t>
    <phoneticPr fontId="2"/>
  </si>
  <si>
    <t>×</t>
    <phoneticPr fontId="2"/>
  </si>
  <si>
    <t>R</t>
    <phoneticPr fontId="2"/>
  </si>
  <si>
    <t>CTP</t>
    <phoneticPr fontId="2"/>
  </si>
  <si>
    <t>R</t>
    <phoneticPr fontId="2"/>
  </si>
  <si>
    <t>　　</t>
    <phoneticPr fontId="2"/>
  </si>
  <si>
    <t>　　</t>
    <phoneticPr fontId="2"/>
  </si>
  <si>
    <t>　　</t>
    <phoneticPr fontId="2"/>
  </si>
  <si>
    <t>　　</t>
    <phoneticPr fontId="2"/>
  </si>
  <si>
    <t>請求月</t>
    <phoneticPr fontId="2"/>
  </si>
  <si>
    <t>P</t>
    <phoneticPr fontId="2"/>
  </si>
  <si>
    <t>C</t>
    <phoneticPr fontId="2"/>
  </si>
  <si>
    <t>ｵﾌ</t>
    <phoneticPr fontId="2"/>
  </si>
  <si>
    <t>ｸﾞﾗ</t>
    <phoneticPr fontId="2"/>
  </si>
  <si>
    <t>×</t>
    <phoneticPr fontId="2"/>
  </si>
  <si>
    <t>柳野　沙織</t>
  </si>
  <si>
    <t>佐々木　遼</t>
  </si>
  <si>
    <t>植竹　由樹</t>
  </si>
  <si>
    <t>松本　盛一</t>
    <phoneticPr fontId="2"/>
  </si>
  <si>
    <t>三好　励</t>
    <phoneticPr fontId="2"/>
  </si>
  <si>
    <t>吉野　公貴</t>
    <phoneticPr fontId="2"/>
  </si>
  <si>
    <t>阿部　純子</t>
    <phoneticPr fontId="2"/>
  </si>
  <si>
    <t>上神谷　勝</t>
    <phoneticPr fontId="2"/>
  </si>
  <si>
    <t>小薬　貴雄</t>
    <phoneticPr fontId="2"/>
  </si>
  <si>
    <t>竹山　直孝</t>
    <phoneticPr fontId="2"/>
  </si>
  <si>
    <t>芝　葵</t>
    <phoneticPr fontId="2"/>
  </si>
  <si>
    <t>丸瀬　篤史</t>
    <phoneticPr fontId="2"/>
  </si>
  <si>
    <t>下版方法</t>
  </si>
  <si>
    <t>製版内容</t>
    <phoneticPr fontId="2"/>
  </si>
  <si>
    <t>外注一括（営）</t>
    <rPh sb="0" eb="2">
      <t>ガイチュウ</t>
    </rPh>
    <rPh sb="2" eb="4">
      <t>イッカツ</t>
    </rPh>
    <rPh sb="5" eb="6">
      <t>エイ</t>
    </rPh>
    <phoneticPr fontId="2"/>
  </si>
  <si>
    <t>データ渡し（営業）</t>
    <rPh sb="3" eb="4">
      <t>ワタ</t>
    </rPh>
    <rPh sb="6" eb="8">
      <t>エイギョウ</t>
    </rPh>
    <phoneticPr fontId="2"/>
  </si>
  <si>
    <t>フィルム</t>
    <phoneticPr fontId="2"/>
  </si>
  <si>
    <t>得意先コード</t>
    <rPh sb="0" eb="3">
      <t>トクイサキ</t>
    </rPh>
    <phoneticPr fontId="2"/>
  </si>
  <si>
    <t>受注管理番号</t>
    <rPh sb="0" eb="6">
      <t>ジュチュウカンリバンゴウ</t>
    </rPh>
    <phoneticPr fontId="2"/>
  </si>
  <si>
    <t>本人の同意確認</t>
    <phoneticPr fontId="2"/>
  </si>
  <si>
    <t>利用目的確認</t>
  </si>
  <si>
    <t>個人情報お預かり確認事項</t>
    <rPh sb="0" eb="4">
      <t>コジンジョウホウ</t>
    </rPh>
    <rPh sb="5" eb="6">
      <t>アズ</t>
    </rPh>
    <rPh sb="8" eb="12">
      <t>カクニンジコウ</t>
    </rPh>
    <phoneticPr fontId="2"/>
  </si>
  <si>
    <t>発行日</t>
    <rPh sb="0" eb="3">
      <t>ハッコウビ</t>
    </rPh>
    <phoneticPr fontId="2"/>
  </si>
  <si>
    <t>出校媒体</t>
    <rPh sb="0" eb="2">
      <t>シュッコウ</t>
    </rPh>
    <rPh sb="2" eb="4">
      <t>バイタイ</t>
    </rPh>
    <phoneticPr fontId="2"/>
  </si>
  <si>
    <t>表紙</t>
    <rPh sb="0" eb="2">
      <t>ヒョウシ</t>
    </rPh>
    <phoneticPr fontId="2"/>
  </si>
  <si>
    <t>本文</t>
    <rPh sb="0" eb="2">
      <t>ホンブン</t>
    </rPh>
    <phoneticPr fontId="2"/>
  </si>
  <si>
    <t>出校媒体</t>
    <rPh sb="0" eb="4">
      <t>シュッコウバイタイ</t>
    </rPh>
    <phoneticPr fontId="2"/>
  </si>
  <si>
    <t>平台</t>
    <rPh sb="0" eb="2">
      <t>ヒラダイ</t>
    </rPh>
    <phoneticPr fontId="2"/>
  </si>
  <si>
    <t>インクジェット</t>
    <phoneticPr fontId="2"/>
  </si>
  <si>
    <t>デジコン</t>
    <phoneticPr fontId="2"/>
  </si>
  <si>
    <t>カンプ</t>
    <phoneticPr fontId="2"/>
  </si>
  <si>
    <t>平台+α</t>
    <rPh sb="0" eb="2">
      <t>ヒラダイ</t>
    </rPh>
    <phoneticPr fontId="2"/>
  </si>
  <si>
    <t>得意先コード</t>
  </si>
  <si>
    <t>得意先漢字</t>
  </si>
  <si>
    <t>得意先略称</t>
  </si>
  <si>
    <t>順番用</t>
    <rPh sb="0" eb="2">
      <t>ジュンバン</t>
    </rPh>
    <rPh sb="2" eb="3">
      <t>ヨウ</t>
    </rPh>
    <phoneticPr fontId="2"/>
  </si>
  <si>
    <t>㈱ｱｰﾄﾈｲﾁｬｰ</t>
  </si>
  <si>
    <t>㈱ｱｰﾄﾈｲﾁｬー</t>
  </si>
  <si>
    <t>あーとねい</t>
    <phoneticPr fontId="2"/>
  </si>
  <si>
    <t>㈱ｱｰﾙｽﾞ出版</t>
  </si>
  <si>
    <t>あーるず</t>
    <phoneticPr fontId="2"/>
  </si>
  <si>
    <t>㈱Ｉ＆Ｓ　ＢＢＤＯ</t>
  </si>
  <si>
    <t>㈱I&amp;S　BBDO</t>
  </si>
  <si>
    <t>あいあんど</t>
    <phoneticPr fontId="2"/>
  </si>
  <si>
    <t>株式会社アイダックデザイン</t>
  </si>
  <si>
    <t>㈱ｱｲﾀﾞｯｸﾃﾞｻﾞｲﾝ</t>
  </si>
  <si>
    <t>あいだっく</t>
    <phoneticPr fontId="2"/>
  </si>
  <si>
    <t>㈱ｱｻﾂｰﾃﾞｨ･ｹｲ</t>
  </si>
  <si>
    <t>あさつー</t>
    <phoneticPr fontId="2"/>
  </si>
  <si>
    <t>㈲アドハウス</t>
  </si>
  <si>
    <t>あどはうす</t>
    <phoneticPr fontId="2"/>
  </si>
  <si>
    <t>㈱ｱﾄﾞ･ﾙｯｸｽ</t>
  </si>
  <si>
    <t>あどるっくす</t>
    <phoneticPr fontId="2"/>
  </si>
  <si>
    <t>ｱﾍﾞ印刷㈱</t>
  </si>
  <si>
    <t>あべい</t>
    <phoneticPr fontId="2"/>
  </si>
  <si>
    <t>㈱ｱﾍﾟﾘｵ</t>
  </si>
  <si>
    <t>あべり</t>
    <phoneticPr fontId="2"/>
  </si>
  <si>
    <t>アルファヴィル株式会社</t>
  </si>
  <si>
    <t>ｱﾙﾌｧｳﾞｨﾙ㈱</t>
  </si>
  <si>
    <t>ある</t>
    <phoneticPr fontId="2"/>
  </si>
  <si>
    <t>㈱ｱﾝｸﾙｰﾙ</t>
  </si>
  <si>
    <t>あんく</t>
    <phoneticPr fontId="2"/>
  </si>
  <si>
    <t>㈱ｱﾝﾄﾚｯｸｽ</t>
  </si>
  <si>
    <t>あんと</t>
    <phoneticPr fontId="2"/>
  </si>
  <si>
    <t>学)ｲｰｴｽﾋﾟｰ学園</t>
  </si>
  <si>
    <t>いーえすぴー</t>
    <phoneticPr fontId="2"/>
  </si>
  <si>
    <t>池田勝利</t>
  </si>
  <si>
    <t>いけだかつとし</t>
    <phoneticPr fontId="2"/>
  </si>
  <si>
    <t>㈱一如社</t>
  </si>
  <si>
    <t>㈱一如社</t>
    <phoneticPr fontId="2"/>
  </si>
  <si>
    <t>いちにょう</t>
    <phoneticPr fontId="2"/>
  </si>
  <si>
    <t>㈱一水社</t>
  </si>
  <si>
    <t>いっすい</t>
    <phoneticPr fontId="2"/>
  </si>
  <si>
    <t>㈱ｲﾏｼﾞﾝｸﾘｴｲｼｮﾝ</t>
  </si>
  <si>
    <t>いまじん</t>
    <phoneticPr fontId="2"/>
  </si>
  <si>
    <t>㈱岩波書店</t>
  </si>
  <si>
    <t>いわなみ</t>
    <phoneticPr fontId="2"/>
  </si>
  <si>
    <t>㈱ｲﾝﾀｰｸﾞﾛｰ</t>
  </si>
  <si>
    <t>いんたーぐ</t>
    <phoneticPr fontId="2"/>
  </si>
  <si>
    <t>㈱ｲﾝﾀｰﾅｼｮﾅﾙ･ﾗｸﾞｼﾞｭｱﾘｰ･ﾒﾃﾞｨｱ</t>
  </si>
  <si>
    <t>㈱ｲﾝﾀｰﾅｼｮﾅﾙ･ﾗｸ</t>
  </si>
  <si>
    <t>いんたーな</t>
    <phoneticPr fontId="2"/>
  </si>
  <si>
    <t>ｲﾝﾌｫﾆｱ㈱</t>
  </si>
  <si>
    <t>いんふぉ</t>
    <phoneticPr fontId="2"/>
  </si>
  <si>
    <t>株式会社ヴィヴァーチェ</t>
  </si>
  <si>
    <t>㈱ｳﾞｨｳﾞｧｰﾁｪ</t>
  </si>
  <si>
    <t>ゔぃゔぁーちぇ</t>
    <phoneticPr fontId="2"/>
  </si>
  <si>
    <t>株式会社ヴィヴァーチェネクスト</t>
  </si>
  <si>
    <t>㈱ｳﾞｨｳﾞｧｰﾁｪﾈｸ</t>
  </si>
  <si>
    <t>ゔぃゔぁーちぇねく</t>
    <phoneticPr fontId="2"/>
  </si>
  <si>
    <t>ｳﾞｨｴﾑﾋﾟｰ㈱</t>
  </si>
  <si>
    <t>ゔぃえむ</t>
    <phoneticPr fontId="2"/>
  </si>
  <si>
    <t>内田京子</t>
  </si>
  <si>
    <t>うちだきょうこ</t>
    <phoneticPr fontId="2"/>
  </si>
  <si>
    <t>㈱英光社</t>
  </si>
  <si>
    <t>えいこう</t>
    <phoneticPr fontId="2"/>
  </si>
  <si>
    <t>ｴｲﾁｱｰﾙﾃｨｰ　ﾆｭｰｵｰﾀﾆｰ㈱</t>
  </si>
  <si>
    <t>ｴｲﾁｱｰﾙﾃｨｰ　ﾆｭｰ</t>
  </si>
  <si>
    <t>えいちあーる</t>
    <phoneticPr fontId="2"/>
  </si>
  <si>
    <t>㈱H&amp;M</t>
  </si>
  <si>
    <t>えいちあんど</t>
    <phoneticPr fontId="2"/>
  </si>
  <si>
    <t>㈱ｴｲﾁｴｽｹｲﾆｭｰｵｰﾀﾆ</t>
  </si>
  <si>
    <t>㈱ｴｲﾁｴｽｹｲﾆｭｰｵｰ</t>
  </si>
  <si>
    <t>えいちえすけい</t>
    <phoneticPr fontId="2"/>
  </si>
  <si>
    <t>㈱ｴｰﾍﾞﾙ</t>
  </si>
  <si>
    <t>えーべる</t>
    <phoneticPr fontId="2"/>
  </si>
  <si>
    <t>㈱ｴｷｽﾊﾟｰﾄｽﾀｯﾌ</t>
  </si>
  <si>
    <t>えきすぱー</t>
    <phoneticPr fontId="2"/>
  </si>
  <si>
    <t>ｴｽｹｲ産業㈱</t>
  </si>
  <si>
    <t>えすけい</t>
    <phoneticPr fontId="2"/>
  </si>
  <si>
    <t>㈱NHK出版</t>
  </si>
  <si>
    <t>えぬえいちけい</t>
    <phoneticPr fontId="2"/>
  </si>
  <si>
    <t>ｴﾇ・ﾃｨ・ﾃｨ・ｺﾐｭﾆｹｰｼｮﾝｽﾞ㈱</t>
  </si>
  <si>
    <t>NTTｺﾐｭﾆｹｰｼｮﾝｽﾞ</t>
  </si>
  <si>
    <t>えぬてぃ</t>
    <phoneticPr fontId="2"/>
  </si>
  <si>
    <t>㈱ｴﾌｴﾑﾃﾞｨｰﾋﾞｰ</t>
  </si>
  <si>
    <t>えふえむ</t>
    <phoneticPr fontId="2"/>
  </si>
  <si>
    <t>㈱MIMC</t>
  </si>
  <si>
    <t>えむあいむしー</t>
    <phoneticPr fontId="2"/>
  </si>
  <si>
    <t>㈱MKｺﾐｭﾆｹｰｼｮﾝｽﾞ</t>
  </si>
  <si>
    <t>㈱MKｺﾐｭﾆｹｰｼｮﾝｽ</t>
  </si>
  <si>
    <t>えむけい</t>
    <phoneticPr fontId="2"/>
  </si>
  <si>
    <t>大谷清英</t>
  </si>
  <si>
    <t>おおたにせいえい</t>
    <phoneticPr fontId="2"/>
  </si>
  <si>
    <t>ｵｸﾞﾙｳﾞｨ･ｱｸｼｮﾝ･ｼﾞｬﾊﾟﾝ㈱</t>
  </si>
  <si>
    <t>ｵｸﾞﾙｳﾞｨ･ｱｸｼｮﾝ･</t>
  </si>
  <si>
    <t>おぐる</t>
    <phoneticPr fontId="2"/>
  </si>
  <si>
    <t>Office　j.j.P</t>
  </si>
  <si>
    <t>おふぃすじぇい</t>
    <phoneticPr fontId="2"/>
  </si>
  <si>
    <t>㈱ｵﾌｨｽﾘｺﾙﾄﾞ</t>
  </si>
  <si>
    <t>おふぃすりこ</t>
    <phoneticPr fontId="2"/>
  </si>
  <si>
    <t>有限会社ガウディ</t>
  </si>
  <si>
    <t>㈲ｶﾞｳﾃﾞｨ</t>
  </si>
  <si>
    <t>がうでぃ</t>
    <phoneticPr fontId="2"/>
  </si>
  <si>
    <t>片倉印刷㈱</t>
  </si>
  <si>
    <t>かたくら</t>
    <phoneticPr fontId="2"/>
  </si>
  <si>
    <t>㈱ｶﾓﾐｰﾙ社</t>
  </si>
  <si>
    <t>かもみ</t>
    <phoneticPr fontId="2"/>
  </si>
  <si>
    <t>ｶﾚﾝﾀﾞｰ売上</t>
  </si>
  <si>
    <t>かれんだー</t>
    <phoneticPr fontId="2"/>
  </si>
  <si>
    <t>㈲ｷｸﾁ機械</t>
  </si>
  <si>
    <t>きくち</t>
    <phoneticPr fontId="2"/>
  </si>
  <si>
    <t>KISCO㈱</t>
  </si>
  <si>
    <t>きすこ</t>
    <phoneticPr fontId="2"/>
  </si>
  <si>
    <t>㈱ｷｬｽﾄ</t>
  </si>
  <si>
    <t>きゃすと</t>
    <phoneticPr fontId="2"/>
  </si>
  <si>
    <t>㈱教育新聞社</t>
  </si>
  <si>
    <t>きょういく</t>
    <phoneticPr fontId="2"/>
  </si>
  <si>
    <t>㈱協同技術ｾﾝﾀｰ</t>
  </si>
  <si>
    <t>きょうどうぎ</t>
    <phoneticPr fontId="2"/>
  </si>
  <si>
    <t>株式会社ｷﾗｷﾗﾘｰｸﾞ</t>
  </si>
  <si>
    <t>㈱ｷﾗｷﾗﾘｰｸﾞ</t>
  </si>
  <si>
    <t>きらきら</t>
    <phoneticPr fontId="2"/>
  </si>
  <si>
    <t>ｷﾗｼﾞｪﾝﾇ㈱</t>
  </si>
  <si>
    <t>きらじぇん</t>
    <phoneticPr fontId="2"/>
  </si>
  <si>
    <t>㈱ｸﾞﾗﾝｲｰｸﾞﾙ</t>
  </si>
  <si>
    <t>ぐらん</t>
    <phoneticPr fontId="2"/>
  </si>
  <si>
    <t>㈱経済界</t>
  </si>
  <si>
    <t>けいざいか</t>
    <phoneticPr fontId="2"/>
  </si>
  <si>
    <t>㈱ｹｰｴﾇｺｰﾎﾟﾚｰｼｮﾝｼﾞｬﾊﾟﾝ</t>
  </si>
  <si>
    <t>㈱ｹｰｴﾇｺｰﾎﾟﾚｰｼｮ</t>
  </si>
  <si>
    <t>けーえぬ</t>
    <phoneticPr fontId="2"/>
  </si>
  <si>
    <t>㈱元気学校</t>
  </si>
  <si>
    <t>げんき</t>
    <phoneticPr fontId="2"/>
  </si>
  <si>
    <t>㈱ｺｲﾝﾊﾟｰｸ</t>
  </si>
  <si>
    <t>こいんぱ</t>
    <phoneticPr fontId="2"/>
  </si>
  <si>
    <t>㈱講談社</t>
  </si>
  <si>
    <t>こうだん</t>
    <phoneticPr fontId="2"/>
  </si>
  <si>
    <t>㈱交通新聞社</t>
  </si>
  <si>
    <t>こうつうしん</t>
    <phoneticPr fontId="2"/>
  </si>
  <si>
    <t>強羅活性化プロジェクト実行委員会</t>
  </si>
  <si>
    <t>強羅活性化ﾌﾟﾛ</t>
  </si>
  <si>
    <t>ごうら</t>
    <phoneticPr fontId="2"/>
  </si>
  <si>
    <t>国際紙ﾊﾟﾙﾌﾟ商事㈱</t>
  </si>
  <si>
    <t>国際紙ﾊﾟﾙﾌﾟ商</t>
  </si>
  <si>
    <t>こくさい</t>
    <phoneticPr fontId="2"/>
  </si>
  <si>
    <t>NPO法人　国際チェロアンサンブル協会</t>
  </si>
  <si>
    <t>国際ﾁｪﾛｱﾝｻﾝﾌﾞﾙ</t>
  </si>
  <si>
    <t>こくさいちぇろ</t>
    <phoneticPr fontId="2"/>
  </si>
  <si>
    <t>㈱こぐま社</t>
  </si>
  <si>
    <t>こぐま</t>
    <phoneticPr fontId="2"/>
  </si>
  <si>
    <t>㈱ｺﾑﾃｯｸｽ</t>
  </si>
  <si>
    <t>こむてっくす</t>
    <phoneticPr fontId="2"/>
  </si>
  <si>
    <t>㈱ｺﾝｾﾝﾄ</t>
  </si>
  <si>
    <t>こんせ</t>
    <phoneticPr fontId="2"/>
  </si>
  <si>
    <t>㈲ｻｻﾞﾝｶﾝﾊﾟﾆｰ</t>
  </si>
  <si>
    <t>さざん</t>
    <phoneticPr fontId="2"/>
  </si>
  <si>
    <t>㈲佐藤漫画製作所</t>
  </si>
  <si>
    <t>㈲佐藤漫画製作</t>
  </si>
  <si>
    <t>さとうまんが</t>
    <phoneticPr fontId="2"/>
  </si>
  <si>
    <t>㈱ｻﾅｯﾌﾟ</t>
  </si>
  <si>
    <t>さなっぷ</t>
    <phoneticPr fontId="2"/>
  </si>
  <si>
    <t>㈲ｻﾞﾘｶﾞﾆﾜｰｸｽ</t>
  </si>
  <si>
    <t>ざりがに</t>
    <phoneticPr fontId="2"/>
  </si>
  <si>
    <t>三愛石油㈱</t>
  </si>
  <si>
    <t>さんあい</t>
    <phoneticPr fontId="2"/>
  </si>
  <si>
    <t>三共ｸﾞﾗﾌｨｯｸ㈱</t>
  </si>
  <si>
    <t>さんきょうぐらふぃっく</t>
    <phoneticPr fontId="2"/>
  </si>
  <si>
    <t>㈱三協美術</t>
  </si>
  <si>
    <t>さんきょうびじゅつ</t>
    <phoneticPr fontId="2"/>
  </si>
  <si>
    <t>ｻﾝ･ｸﾘｴｲﾃｨﾌﾞ㈱</t>
  </si>
  <si>
    <t>さんくりえてぃぶ</t>
    <phoneticPr fontId="2"/>
  </si>
  <si>
    <t>㈱三互</t>
  </si>
  <si>
    <t>さんご</t>
    <phoneticPr fontId="2"/>
  </si>
  <si>
    <t>㈱ｻﾝﾍﾟｯｸｽｲｽﾄ</t>
  </si>
  <si>
    <t>さんぺ</t>
    <phoneticPr fontId="2"/>
  </si>
  <si>
    <t>㈱ｻﾝﾘｵ</t>
  </si>
  <si>
    <t>さんりお</t>
    <phoneticPr fontId="2"/>
  </si>
  <si>
    <t>㈱ジーエムピー</t>
  </si>
  <si>
    <t>じーえむ</t>
    <phoneticPr fontId="2"/>
  </si>
  <si>
    <t>㈱CPｺｽﾒﾃｨｸｽ</t>
  </si>
  <si>
    <t>しーぴーこすめ</t>
    <phoneticPr fontId="2"/>
  </si>
  <si>
    <t>㈱ｼﾞｪｲﾌﾞｲｹｲ</t>
  </si>
  <si>
    <t>じぇいぶ</t>
    <phoneticPr fontId="2"/>
  </si>
  <si>
    <t>㈲次代ﾌﾟﾗﾝﾆﾝｸﾞ</t>
  </si>
  <si>
    <t>じだい</t>
    <phoneticPr fontId="2"/>
  </si>
  <si>
    <t>一般財団法人　品川ビジネスクラブ</t>
  </si>
  <si>
    <t>品川ﾋﾞｼﾞﾈｽｸﾗﾌﾞ</t>
  </si>
  <si>
    <t>しながわびじねす</t>
    <phoneticPr fontId="2"/>
  </si>
  <si>
    <t>㈲芝浦嵯峨正造商店</t>
  </si>
  <si>
    <t>㈲芝浦嵯峨正造</t>
  </si>
  <si>
    <t>しばうら</t>
    <phoneticPr fontId="2"/>
  </si>
  <si>
    <t>㈱集英社</t>
  </si>
  <si>
    <t>しゅうえいしゃ</t>
    <phoneticPr fontId="2"/>
  </si>
  <si>
    <t>㈲ｼｭｶﾞｰ･ﾜｰｸｽ</t>
  </si>
  <si>
    <t>しゅがー</t>
    <phoneticPr fontId="2"/>
  </si>
  <si>
    <t>㈱小学館</t>
  </si>
  <si>
    <t>しょうがくかん</t>
    <phoneticPr fontId="2"/>
  </si>
  <si>
    <t>翔ﾃﾚﾋﾞｼﾞｮﾝ㈱</t>
  </si>
  <si>
    <t>しょうてれび</t>
    <phoneticPr fontId="2"/>
  </si>
  <si>
    <t>㈱女性ﾓｰﾄﾞ社</t>
  </si>
  <si>
    <t>じょせい</t>
    <phoneticPr fontId="2"/>
  </si>
  <si>
    <t>学校法人　白金幼稚園</t>
  </si>
  <si>
    <t>学)白金幼稚園</t>
  </si>
  <si>
    <t>しろがね</t>
    <phoneticPr fontId="2"/>
  </si>
  <si>
    <t>㈱ｼﾝｹﾝ</t>
  </si>
  <si>
    <t>しんけん</t>
    <phoneticPr fontId="2"/>
  </si>
  <si>
    <t>ｽｴﾃﾞﾋﾞｯｸ㈱</t>
  </si>
  <si>
    <t>すえでびっく</t>
    <phoneticPr fontId="2"/>
  </si>
  <si>
    <t>㈲ｽｶｲﾗﾝﾄﾞ</t>
  </si>
  <si>
    <t>すかいらんど</t>
    <phoneticPr fontId="2"/>
  </si>
  <si>
    <t>株式スタンダードマガジン</t>
  </si>
  <si>
    <t>㈱ｽﾀﾝﾀﾞｰﾄﾞﾏｶﾞｼ</t>
  </si>
  <si>
    <t>すたんだ</t>
    <phoneticPr fontId="2"/>
  </si>
  <si>
    <t>住友生命保険相互会社</t>
  </si>
  <si>
    <t>住友生命保険相</t>
  </si>
  <si>
    <t>すみともせいめい</t>
    <phoneticPr fontId="2"/>
  </si>
  <si>
    <t>学)聖学院女子聖学院中学校高等学校</t>
  </si>
  <si>
    <t>学)聖学院女子</t>
  </si>
  <si>
    <t>せいがく ちゅうがく</t>
    <phoneticPr fontId="2"/>
  </si>
  <si>
    <t>学)聖学院女子聖学院PTA</t>
  </si>
  <si>
    <t>せいがくぴーてぃーえー</t>
    <phoneticPr fontId="2"/>
  </si>
  <si>
    <t>千住加工紙㈱</t>
  </si>
  <si>
    <t>せんじゅ</t>
    <phoneticPr fontId="2"/>
  </si>
  <si>
    <t>ソーダニッカ株式会社</t>
  </si>
  <si>
    <t>ｿｰﾀﾞﾆｯｶ㈱</t>
  </si>
  <si>
    <t>そーだーにっか</t>
    <phoneticPr fontId="2"/>
  </si>
  <si>
    <t>ｿﾆｰ･ﾋｭｰﾏﾝｷｬﾋﾟﾀﾙ㈱</t>
  </si>
  <si>
    <t>ｿﾆｰ･ﾋｭｰﾏﾝｷｬﾋﾟﾀ</t>
  </si>
  <si>
    <t>そにーひゅーまん</t>
    <phoneticPr fontId="2"/>
  </si>
  <si>
    <t>㈱ｿﾆｰﾌｧｲﾅﾝｽｲﾝﾀｰﾅｼｮﾅﾙ</t>
  </si>
  <si>
    <t>㈱ｿﾆｰﾌｧｲﾅﾝｽｲﾝﾀ</t>
  </si>
  <si>
    <t>そにーふぁい</t>
    <phoneticPr fontId="2"/>
  </si>
  <si>
    <t>ｿﾌﾄｵﾝﾃﾞﾏﾝﾄﾞ㈱</t>
  </si>
  <si>
    <t>そふとおんでまんど</t>
    <phoneticPr fontId="2"/>
  </si>
  <si>
    <t>SODｱｰﾄﾜｰｸｽ㈱</t>
  </si>
  <si>
    <t>そふとおんでまんどあーと</t>
    <phoneticPr fontId="2"/>
  </si>
  <si>
    <t>大栄商会</t>
  </si>
  <si>
    <t>だいえい</t>
    <phoneticPr fontId="2"/>
  </si>
  <si>
    <t>泰司デザイン事務所</t>
  </si>
  <si>
    <t>泰司ﾃﾞｻﾞｲﾝ事務</t>
  </si>
  <si>
    <t>たいじでざいん</t>
    <phoneticPr fontId="2"/>
  </si>
  <si>
    <t>大同化成工業㈱</t>
  </si>
  <si>
    <t>だいどう</t>
    <phoneticPr fontId="2"/>
  </si>
  <si>
    <t>ﾀﾞｲﾄﾞｰﾄﾞﾘﾝｺ㈱</t>
  </si>
  <si>
    <t>だいどー</t>
    <phoneticPr fontId="2"/>
  </si>
  <si>
    <t>大日本印刷㈱</t>
  </si>
  <si>
    <t>だいにほ</t>
    <phoneticPr fontId="2"/>
  </si>
  <si>
    <t>大和ﾊｳｽ工業㈱</t>
  </si>
  <si>
    <t>だいわ</t>
    <phoneticPr fontId="2"/>
  </si>
  <si>
    <t>竹田印刷㈱</t>
  </si>
  <si>
    <t>たけだいんさつ</t>
    <phoneticPr fontId="2"/>
  </si>
  <si>
    <t>チャイナポータル株式会社</t>
  </si>
  <si>
    <t>ﾁｬｲﾅﾎﾟｰﾀﾙ㈱</t>
  </si>
  <si>
    <t>ちゃいな</t>
    <phoneticPr fontId="2"/>
  </si>
  <si>
    <t>㈱中央公論新社</t>
  </si>
  <si>
    <t>ちゅうおう</t>
    <phoneticPr fontId="2"/>
  </si>
  <si>
    <t>㈱千代田ｸﾞﾗﾋﾞﾔ</t>
  </si>
  <si>
    <t>ちよだ</t>
    <phoneticPr fontId="2"/>
  </si>
  <si>
    <t>㈱TU･TI編集室</t>
  </si>
  <si>
    <t>つちへんしゅう</t>
    <phoneticPr fontId="2"/>
  </si>
  <si>
    <t>㈱つり人社</t>
  </si>
  <si>
    <t>つりびと</t>
    <phoneticPr fontId="2"/>
  </si>
  <si>
    <t>㈱ﾃﾞｨｱｯｸｽ</t>
  </si>
  <si>
    <t>であっく</t>
    <phoneticPr fontId="2"/>
  </si>
  <si>
    <t>㈱D&amp;Nﾌﾟﾗﾝﾆﾝｸﾞ</t>
  </si>
  <si>
    <t>でぃーあん</t>
    <phoneticPr fontId="2"/>
  </si>
  <si>
    <t>㈲ﾃﾞｨｰｲｰ･ｷｬﾝﾌﾟ</t>
  </si>
  <si>
    <t>でぃーいー</t>
    <phoneticPr fontId="2"/>
  </si>
  <si>
    <t>㈱TBSｻｰﾋﾞｽ</t>
  </si>
  <si>
    <t>てぃーびーえす</t>
    <phoneticPr fontId="2"/>
  </si>
  <si>
    <t>㈱TOLCD</t>
  </si>
  <si>
    <t>㈱TOLCD</t>
    <phoneticPr fontId="2"/>
  </si>
  <si>
    <t>てーおーえる</t>
    <phoneticPr fontId="2"/>
  </si>
  <si>
    <t>㈱ﾃｰｵｰｼｰ</t>
  </si>
  <si>
    <t>てーおーしー</t>
    <phoneticPr fontId="2"/>
  </si>
  <si>
    <t>㈱ﾃｰｵｰｼｰｻﾌﾟﾗｲ</t>
  </si>
  <si>
    <t>てーおーしーさぷ</t>
    <phoneticPr fontId="2"/>
  </si>
  <si>
    <t>㈱TOCﾃﾞｨﾚｸｼｮﾝ</t>
  </si>
  <si>
    <t>てーおーしーでぃれ</t>
    <phoneticPr fontId="2"/>
  </si>
  <si>
    <t>㈱ﾃｰ･ｵｰ･ﾀﾞﾌﾞﾘｭｰ</t>
  </si>
  <si>
    <t>㈱ﾃｰ･ｵｰ･ﾀﾞﾌﾞﾘｭ</t>
  </si>
  <si>
    <t>てーおーだぶりゅー</t>
    <phoneticPr fontId="2"/>
  </si>
  <si>
    <t>㈱電通</t>
  </si>
  <si>
    <t>でんつう</t>
    <phoneticPr fontId="2"/>
  </si>
  <si>
    <t>東京ｶﾚﾝﾀﾞｰ㈱</t>
  </si>
  <si>
    <t>とうきょうかれ</t>
    <phoneticPr fontId="2"/>
  </si>
  <si>
    <t>㈱戸田明和</t>
  </si>
  <si>
    <t>とだめいわ</t>
    <phoneticPr fontId="2"/>
  </si>
  <si>
    <t>凸版印刷㈱</t>
  </si>
  <si>
    <t>とっぱんいんさつ</t>
    <phoneticPr fontId="2"/>
  </si>
  <si>
    <t>㈱巴ｺｰﾎﾟﾚｰｼｮﾝ</t>
  </si>
  <si>
    <t>ともえ</t>
    <phoneticPr fontId="2"/>
  </si>
  <si>
    <t>友綱部屋後援会</t>
  </si>
  <si>
    <t>ともつな</t>
    <phoneticPr fontId="2"/>
  </si>
  <si>
    <t>豊国印刷㈱</t>
  </si>
  <si>
    <t>とよくに</t>
    <phoneticPr fontId="2"/>
  </si>
  <si>
    <t>㈲長倉電機</t>
  </si>
  <si>
    <t>ながくら</t>
    <phoneticPr fontId="2"/>
  </si>
  <si>
    <t>学校法人中延学園　朋優学院高等学校</t>
  </si>
  <si>
    <t>中延学園　朋優</t>
  </si>
  <si>
    <t>なかのぶ</t>
    <phoneticPr fontId="2"/>
  </si>
  <si>
    <t>㈱ﾅﾉｵﾌﾟﾄﾒﾃﾞｨｱ</t>
  </si>
  <si>
    <t>なのおぷと</t>
    <phoneticPr fontId="2"/>
  </si>
  <si>
    <t>㈱ﾆﾁｴﾝ</t>
  </si>
  <si>
    <t>にちえん</t>
    <phoneticPr fontId="2"/>
  </si>
  <si>
    <t>㈱日経ＢＰ</t>
  </si>
  <si>
    <t>にっけいびーぴー</t>
    <phoneticPr fontId="2"/>
  </si>
  <si>
    <t>㈱日経BPｱﾄﾞ･ﾊﾟｰﾄﾅｰｽﾞ</t>
  </si>
  <si>
    <t>㈱日経BPｱﾄﾞ･ﾊﾟ</t>
  </si>
  <si>
    <t>にっけいびーぴーあど</t>
    <phoneticPr fontId="2"/>
  </si>
  <si>
    <t>日商岩井紙ﾊﾟﾙﾌﾟ㈱</t>
  </si>
  <si>
    <t>日商岩井紙ﾊﾟﾙﾌ</t>
  </si>
  <si>
    <t>にっしょういわい</t>
    <phoneticPr fontId="2"/>
  </si>
  <si>
    <t>日本海隆㈱</t>
  </si>
  <si>
    <t>にほんかいこう</t>
    <phoneticPr fontId="2"/>
  </si>
  <si>
    <t>一般財団法人　日本ｶﾒﾗ財団</t>
  </si>
  <si>
    <t>財)日本ｶﾒﾗ財団</t>
  </si>
  <si>
    <t>にほんかめら</t>
    <phoneticPr fontId="2"/>
  </si>
  <si>
    <t>日本基督教団　王子教会</t>
  </si>
  <si>
    <t>日本基督教団　</t>
  </si>
  <si>
    <t>にほんきとく</t>
    <phoneticPr fontId="2"/>
  </si>
  <si>
    <t>公益社団法人　日本写真家協会</t>
  </si>
  <si>
    <t>日本写真家協会</t>
  </si>
  <si>
    <t>にほんしゃしん</t>
    <phoneticPr fontId="2"/>
  </si>
  <si>
    <t>㈱日本写真企画</t>
  </si>
  <si>
    <t>にほんしゃしんきかく</t>
    <phoneticPr fontId="2"/>
  </si>
  <si>
    <t>㈱日本ｽﾎﾟｰﾂ企画出版社</t>
  </si>
  <si>
    <t>㈱日本ｽﾎﾟｰﾂ企</t>
  </si>
  <si>
    <t>にほんすぽーつ</t>
    <phoneticPr fontId="2"/>
  </si>
  <si>
    <t>日本生命保険(相)</t>
  </si>
  <si>
    <t>日本生命保険(</t>
  </si>
  <si>
    <t>にほんせいめい</t>
    <phoneticPr fontId="2"/>
  </si>
  <si>
    <t>日本ﾌｫﾄｹﾐｶﾙ㈱</t>
  </si>
  <si>
    <t>にほんふぉと</t>
    <phoneticPr fontId="2"/>
  </si>
  <si>
    <t>日本物産㈱</t>
  </si>
  <si>
    <t>にほんぶっさん</t>
    <phoneticPr fontId="2"/>
  </si>
  <si>
    <t>社)日本ﾒｲｸｱｯﾌﾟ技術検定協会</t>
  </si>
  <si>
    <t>社)日本ﾒｲｸｱｯﾌﾟ</t>
  </si>
  <si>
    <t>にほんめいく</t>
    <phoneticPr fontId="2"/>
  </si>
  <si>
    <t>㈱ﾆｭｰｱﾄﾞ社</t>
  </si>
  <si>
    <t>にゅーあど</t>
    <phoneticPr fontId="2"/>
  </si>
  <si>
    <t>㈱ﾆｭｰｵｰﾀﾆ</t>
  </si>
  <si>
    <t>にゅーおーたに</t>
    <phoneticPr fontId="2"/>
  </si>
  <si>
    <t>㈱ﾈｯﾄﾜｰｸﾌﾟﾗﾝ</t>
  </si>
  <si>
    <t>ねっとわーく</t>
    <phoneticPr fontId="2"/>
  </si>
  <si>
    <t>㈲ﾊﾞｰｽﾄ</t>
  </si>
  <si>
    <t>ばーす</t>
    <phoneticPr fontId="2"/>
  </si>
  <si>
    <t>㈱ﾊｰｽﾄ婦人画報社</t>
  </si>
  <si>
    <t>㈱ﾊｰｽﾄ婦人画報</t>
  </si>
  <si>
    <t>はーすと</t>
    <phoneticPr fontId="2"/>
  </si>
  <si>
    <t>㈱博報堂ﾌﾟﾛﾀﾞｸﾂ</t>
  </si>
  <si>
    <t>㈱博報堂ﾌﾟﾛﾀﾞｸ</t>
  </si>
  <si>
    <t>はくほうどうぷ</t>
    <phoneticPr fontId="2"/>
  </si>
  <si>
    <t>㈱博報堂ﾏｸﾞﾈｯﾄ</t>
  </si>
  <si>
    <t>はくほうどうま</t>
    <phoneticPr fontId="2"/>
  </si>
  <si>
    <t>㈱ﾋﾟｰ･ｱｰﾙ･ｼｰ</t>
  </si>
  <si>
    <t>ぴーあーるしー</t>
    <phoneticPr fontId="2"/>
  </si>
  <si>
    <t>株式会社ビーフォレスト</t>
  </si>
  <si>
    <t>㈱ﾋﾞｰﾌｫﾚｽﾄ</t>
  </si>
  <si>
    <t>びーふぉれ</t>
    <phoneticPr fontId="2"/>
  </si>
  <si>
    <t>㈱美術出版社</t>
  </si>
  <si>
    <t>びじゅつ</t>
    <phoneticPr fontId="2"/>
  </si>
  <si>
    <t>㈱美松堂</t>
  </si>
  <si>
    <t>びしょう</t>
    <phoneticPr fontId="2"/>
  </si>
  <si>
    <t>㈱百日草</t>
  </si>
  <si>
    <t>ひゃくにち</t>
    <phoneticPr fontId="2"/>
  </si>
  <si>
    <t>㈱平沢ｽｷｰ研究所</t>
  </si>
  <si>
    <t>㈱平沢ｽｷｰ研究</t>
  </si>
  <si>
    <t>ひらさわ</t>
    <phoneticPr fontId="2"/>
  </si>
  <si>
    <t>㈱ﾌｧﾆｰｹｲ</t>
  </si>
  <si>
    <t>ふぁにー</t>
    <phoneticPr fontId="2"/>
  </si>
  <si>
    <t>㈲ﾌｰﾄﾞﾒﾃﾞｨｱﾃﾞｻﾞｲﾝ</t>
  </si>
  <si>
    <t>㈲ﾌｰﾄﾞﾒﾃﾞｨｱﾃﾞｻ</t>
  </si>
  <si>
    <t>ふーど</t>
    <phoneticPr fontId="2"/>
  </si>
  <si>
    <t>㈱ﾌﾞｴﾉ</t>
  </si>
  <si>
    <t>ぶえの</t>
    <phoneticPr fontId="2"/>
  </si>
  <si>
    <t>藤田製本㈱</t>
  </si>
  <si>
    <t>ふじた</t>
    <phoneticPr fontId="2"/>
  </si>
  <si>
    <t>㈱双葉社</t>
  </si>
  <si>
    <t>ふたば</t>
    <phoneticPr fontId="2"/>
  </si>
  <si>
    <t>ﾌﾞﾘﾃｨｯｼｭ･ｱﾒﾘｶﾝ･ﾀﾊﾞｺ･ｼﾞｬﾊﾟﾝ合同会社</t>
  </si>
  <si>
    <t>ﾌﾞﾘﾃｨｯｼｭ･ｱﾒﾘｶﾝ</t>
  </si>
  <si>
    <t>ぶりてぃっしゅ</t>
    <phoneticPr fontId="2"/>
  </si>
  <si>
    <t>㈱古川美和子ﾃﾞｻﾞｲﾝ室</t>
  </si>
  <si>
    <t>㈱古川美和子ﾃﾞ</t>
  </si>
  <si>
    <t>ふるかわ</t>
    <phoneticPr fontId="2"/>
  </si>
  <si>
    <t>㈱ﾌﾞﾙｽﾞｱｲｺﾐｭﾆｹｰｼｮﾝ</t>
  </si>
  <si>
    <t>㈱ﾌﾞﾙｽﾞｱｲｺﾐｭﾆｹ</t>
  </si>
  <si>
    <t>ぶるず</t>
    <phoneticPr fontId="2"/>
  </si>
  <si>
    <t>㈱ﾌﾞﾚｲﾝｽﾞ･ﾈｯﾄﾜｰｸ</t>
  </si>
  <si>
    <t>㈱ﾌﾞﾚｲﾝｽﾞ･ﾈｯﾄ</t>
  </si>
  <si>
    <t>ぶれいんず</t>
    <phoneticPr fontId="2"/>
  </si>
  <si>
    <t>ﾌﾛｰﾗﾙ　ｼﾞｭﾌﾟﾝ</t>
  </si>
  <si>
    <t>ﾌﾛｰﾗﾙｼﾞｭﾌﾟﾝ</t>
  </si>
  <si>
    <t>ふろーら</t>
    <phoneticPr fontId="2"/>
  </si>
  <si>
    <t>㈱プロポーションシーツー</t>
  </si>
  <si>
    <t>㈱ﾌﾟﾛﾎﾟｰｼｮﾝｼｰﾂ</t>
  </si>
  <si>
    <t>ぷろすぽ</t>
    <phoneticPr fontId="2"/>
  </si>
  <si>
    <t>文化出版局</t>
  </si>
  <si>
    <t>ぶんか</t>
    <phoneticPr fontId="2"/>
  </si>
  <si>
    <t>㈱平版印刷</t>
  </si>
  <si>
    <t>へいはん</t>
    <phoneticPr fontId="2"/>
  </si>
  <si>
    <t>㈱芳文社</t>
  </si>
  <si>
    <t>ほうぶん</t>
    <phoneticPr fontId="2"/>
  </si>
  <si>
    <t>㈱ﾎｰﾑ社</t>
  </si>
  <si>
    <t>ほーむ</t>
    <phoneticPr fontId="2"/>
  </si>
  <si>
    <t>㈱ﾎｰﾑ社　総務・経理部</t>
  </si>
  <si>
    <t>㈱ﾎｰﾑ社　総務</t>
  </si>
  <si>
    <t>ほーむしゃそ</t>
    <phoneticPr fontId="2"/>
  </si>
  <si>
    <t>ﾎﾃﾙﾆｭｰｵｰﾀﾆOB会事務局</t>
  </si>
  <si>
    <t>ﾎﾃﾙﾆｭｰｵｰﾀﾆOB会</t>
  </si>
  <si>
    <t>ほてるにゅーおーたにおーびー</t>
    <phoneticPr fontId="2"/>
  </si>
  <si>
    <t>ホワイトナイト株式会社</t>
  </si>
  <si>
    <t>ﾎﾜｲﾄﾅｲﾄ㈱</t>
  </si>
  <si>
    <t>ほわいと</t>
    <phoneticPr fontId="2"/>
  </si>
  <si>
    <t>株式会社ボンマックス</t>
  </si>
  <si>
    <t>㈱ﾎﾞﾝﾏｯｸｽ</t>
  </si>
  <si>
    <t>ぼん</t>
    <phoneticPr fontId="2"/>
  </si>
  <si>
    <t>㈱ﾏｲﾅﾋﾞ</t>
  </si>
  <si>
    <t>まいなび</t>
    <phoneticPr fontId="2"/>
  </si>
  <si>
    <t>㈱ﾏｲﾝﾄﾞﾜｰｸｽ･ｴﾝﾀﾃｲﾒﾝﾄ</t>
  </si>
  <si>
    <t>㈱ﾏｲﾝﾄﾞﾜｰｸｽ･ｴﾝ</t>
  </si>
  <si>
    <t>まいんど</t>
    <phoneticPr fontId="2"/>
  </si>
  <si>
    <t>㈱ﾏｶﾞｼﾞﾝﾊｳｽ</t>
  </si>
  <si>
    <t>まがじん</t>
    <phoneticPr fontId="2"/>
  </si>
  <si>
    <t>㈱ﾏｸﾞｽﾀｲﾙ</t>
  </si>
  <si>
    <t>まぐすた</t>
    <phoneticPr fontId="2"/>
  </si>
  <si>
    <t>㈱ﾏｸﾋﾞｰｶﾀｶﾞｲ</t>
  </si>
  <si>
    <t>まくびー</t>
    <phoneticPr fontId="2"/>
  </si>
  <si>
    <t>㈱MACS</t>
  </si>
  <si>
    <t>㈱MACS</t>
    <phoneticPr fontId="2"/>
  </si>
  <si>
    <t>まっくす</t>
    <phoneticPr fontId="2"/>
  </si>
  <si>
    <t>㈱ﾏﾃﾞｨｿﾝｺﾝｻﾙﾃｨﾝｸﾞ</t>
  </si>
  <si>
    <t>㈱ﾏﾃﾞｨｿﾝｺﾝｻﾙﾃｨ</t>
  </si>
  <si>
    <t>までぃそん</t>
    <phoneticPr fontId="2"/>
  </si>
  <si>
    <t>丸紅紙ﾊﾟﾙﾌﾟ販売株式会社</t>
  </si>
  <si>
    <t>丸紅紙ﾊﾟﾙﾌﾟ販</t>
  </si>
  <si>
    <t>まるべに</t>
    <phoneticPr fontId="2"/>
  </si>
  <si>
    <t>万田発酵㈱</t>
  </si>
  <si>
    <t>まんだ</t>
    <phoneticPr fontId="2"/>
  </si>
  <si>
    <t>三稲金属㈱</t>
  </si>
  <si>
    <t>みついね</t>
    <phoneticPr fontId="2"/>
  </si>
  <si>
    <t>ﾐﾂﾊﾞﾁﾜｰｸｽ㈱</t>
  </si>
  <si>
    <t>みつばち</t>
    <phoneticPr fontId="2"/>
  </si>
  <si>
    <t>㈱MIMEIDIA</t>
  </si>
  <si>
    <t>みめでぃあ</t>
    <phoneticPr fontId="2"/>
  </si>
  <si>
    <t>ﾐﾔｻﾞﾜ㈱</t>
  </si>
  <si>
    <t>みやざわ</t>
    <phoneticPr fontId="2"/>
  </si>
  <si>
    <t>宮前ﾌｨﾙﾊｰﾓﾆｰ交響楽団</t>
  </si>
  <si>
    <t>宮前ﾌｨﾙﾊｰﾓﾆｰ交</t>
  </si>
  <si>
    <t>みやまえふぃる</t>
    <phoneticPr fontId="2"/>
  </si>
  <si>
    <t>㈱ﾑｰﾋﾞｰｽﾞ</t>
  </si>
  <si>
    <t>むーびーず</t>
    <phoneticPr fontId="2"/>
  </si>
  <si>
    <t>㈱無双舎</t>
  </si>
  <si>
    <t>むそう</t>
    <phoneticPr fontId="2"/>
  </si>
  <si>
    <t>明和印刷㈱</t>
  </si>
  <si>
    <t>めいわ</t>
    <phoneticPr fontId="2"/>
  </si>
  <si>
    <t>㈱ﾒﾃﾞｨｱ工房</t>
  </si>
  <si>
    <t>めでぃあ</t>
    <phoneticPr fontId="2"/>
  </si>
  <si>
    <t>㈱ﾒﾃﾞｨｱｼﾞｬﾊﾟﾝ</t>
  </si>
  <si>
    <t>㈱ﾒﾃﾞｨｱｯｸ</t>
  </si>
  <si>
    <t>めでぃあっく</t>
    <phoneticPr fontId="2"/>
  </si>
  <si>
    <t>株式会社ヤマノ</t>
  </si>
  <si>
    <t>㈱ﾔﾏﾉ</t>
  </si>
  <si>
    <t>やまの</t>
    <phoneticPr fontId="2"/>
  </si>
  <si>
    <t>㈱ﾗｲﾌ･ﾌｫｰﾄ･ｱｰﾄ</t>
  </si>
  <si>
    <t>らいふふぉーと</t>
    <phoneticPr fontId="2"/>
  </si>
  <si>
    <t>ﾘｿﾞｰﾄｿﾘｭｰｼｮﾝ㈱</t>
  </si>
  <si>
    <t>りぞーと</t>
    <phoneticPr fontId="2"/>
  </si>
  <si>
    <t>立正大学附属立正中学校・高等学校</t>
  </si>
  <si>
    <t>立正大学附属</t>
  </si>
  <si>
    <t>りっしょう</t>
    <phoneticPr fontId="2"/>
  </si>
  <si>
    <t>㈱ﾘﾊﾞｺﾌﾟﾗﾝﾆﾝｸﾞ</t>
  </si>
  <si>
    <t>りばこ</t>
    <phoneticPr fontId="2"/>
  </si>
  <si>
    <t>理美容教育出版㈱</t>
  </si>
  <si>
    <t>理美容教育出版</t>
  </si>
  <si>
    <t>りびよう</t>
    <phoneticPr fontId="2"/>
  </si>
  <si>
    <t>ﾜｲｽﾞ企画</t>
  </si>
  <si>
    <t>わいず</t>
    <phoneticPr fontId="2"/>
  </si>
  <si>
    <t>0235</t>
    <phoneticPr fontId="2"/>
  </si>
  <si>
    <t>0489</t>
    <phoneticPr fontId="2"/>
  </si>
  <si>
    <t>0179</t>
    <phoneticPr fontId="2"/>
  </si>
  <si>
    <t>0106</t>
    <phoneticPr fontId="2"/>
  </si>
  <si>
    <t>0182</t>
    <phoneticPr fontId="2"/>
  </si>
  <si>
    <t>0491</t>
    <phoneticPr fontId="2"/>
  </si>
  <si>
    <t>0487</t>
    <phoneticPr fontId="2"/>
  </si>
  <si>
    <t>0490</t>
    <phoneticPr fontId="2"/>
  </si>
  <si>
    <t>0108</t>
    <phoneticPr fontId="2"/>
  </si>
  <si>
    <t>0466</t>
    <phoneticPr fontId="2"/>
  </si>
  <si>
    <t>0394</t>
    <phoneticPr fontId="2"/>
  </si>
  <si>
    <t>0446</t>
    <phoneticPr fontId="2"/>
  </si>
  <si>
    <t>0833</t>
    <phoneticPr fontId="2"/>
  </si>
  <si>
    <t>0836</t>
    <phoneticPr fontId="2"/>
  </si>
  <si>
    <t>0821</t>
    <phoneticPr fontId="2"/>
  </si>
  <si>
    <t>0942</t>
    <phoneticPr fontId="2"/>
  </si>
  <si>
    <t>0889</t>
    <phoneticPr fontId="2"/>
  </si>
  <si>
    <t>0444</t>
    <phoneticPr fontId="2"/>
  </si>
  <si>
    <t>0502</t>
    <phoneticPr fontId="2"/>
  </si>
  <si>
    <t>0398</t>
    <phoneticPr fontId="2"/>
  </si>
  <si>
    <t>0429</t>
    <phoneticPr fontId="2"/>
  </si>
  <si>
    <t>0706</t>
    <phoneticPr fontId="2"/>
  </si>
  <si>
    <t>0717</t>
    <phoneticPr fontId="2"/>
  </si>
  <si>
    <t>0749</t>
    <phoneticPr fontId="2"/>
  </si>
  <si>
    <t>0509</t>
    <phoneticPr fontId="2"/>
  </si>
  <si>
    <t>0741</t>
    <phoneticPr fontId="2"/>
  </si>
  <si>
    <t>0412</t>
    <phoneticPr fontId="2"/>
  </si>
  <si>
    <t>0426</t>
    <phoneticPr fontId="2"/>
  </si>
  <si>
    <t>0500</t>
    <phoneticPr fontId="2"/>
  </si>
  <si>
    <t>0631</t>
    <phoneticPr fontId="2"/>
  </si>
  <si>
    <t>0734</t>
    <phoneticPr fontId="2"/>
  </si>
  <si>
    <t>0726</t>
    <phoneticPr fontId="2"/>
  </si>
  <si>
    <t>0532</t>
    <phoneticPr fontId="2"/>
  </si>
  <si>
    <t>0320</t>
    <phoneticPr fontId="2"/>
  </si>
  <si>
    <t>0428</t>
    <phoneticPr fontId="2"/>
  </si>
  <si>
    <t>0338</t>
    <phoneticPr fontId="2"/>
  </si>
  <si>
    <t>0754</t>
    <phoneticPr fontId="2"/>
  </si>
  <si>
    <t>0478</t>
    <phoneticPr fontId="2"/>
  </si>
  <si>
    <t>0990</t>
    <phoneticPr fontId="2"/>
  </si>
  <si>
    <t>0987</t>
    <phoneticPr fontId="2"/>
  </si>
  <si>
    <t>0755</t>
    <phoneticPr fontId="2"/>
  </si>
  <si>
    <t>0921</t>
    <phoneticPr fontId="2"/>
  </si>
  <si>
    <t>0935</t>
    <phoneticPr fontId="2"/>
  </si>
  <si>
    <t>0443</t>
    <phoneticPr fontId="2"/>
  </si>
  <si>
    <t>0985</t>
    <phoneticPr fontId="2"/>
  </si>
  <si>
    <t>0740</t>
    <phoneticPr fontId="2"/>
  </si>
  <si>
    <t>0751</t>
    <phoneticPr fontId="2"/>
  </si>
  <si>
    <t>0944</t>
    <phoneticPr fontId="2"/>
  </si>
  <si>
    <t>0308</t>
    <phoneticPr fontId="2"/>
  </si>
  <si>
    <t>0311</t>
    <phoneticPr fontId="2"/>
  </si>
  <si>
    <t>明星</t>
    <rPh sb="0" eb="2">
      <t>ミョウジョウ</t>
    </rPh>
    <phoneticPr fontId="2"/>
  </si>
  <si>
    <t>吉野　公貴</t>
  </si>
  <si>
    <t>MJ</t>
    <phoneticPr fontId="2"/>
  </si>
  <si>
    <t>インクジェット</t>
  </si>
  <si>
    <t>CTP</t>
  </si>
  <si>
    <t>決</t>
  </si>
  <si>
    <t>3折</t>
    <rPh sb="1" eb="2">
      <t>オリ</t>
    </rPh>
    <phoneticPr fontId="2"/>
  </si>
  <si>
    <t>4折</t>
    <rPh sb="1" eb="2">
      <t>オリ</t>
    </rPh>
    <phoneticPr fontId="2"/>
  </si>
  <si>
    <t>L</t>
    <phoneticPr fontId="2"/>
  </si>
  <si>
    <t>ｵﾌ</t>
  </si>
  <si>
    <t>MIｸﾞﾛｽWX</t>
    <phoneticPr fontId="2"/>
  </si>
  <si>
    <t>967*625</t>
    <phoneticPr fontId="2"/>
  </si>
  <si>
    <t>丸紅</t>
    <rPh sb="0" eb="2">
      <t>マルベニ</t>
    </rPh>
    <phoneticPr fontId="2"/>
  </si>
  <si>
    <t>1折</t>
    <rPh sb="1" eb="2">
      <t>オリ</t>
    </rPh>
    <phoneticPr fontId="2"/>
  </si>
  <si>
    <t>2折</t>
    <rPh sb="1" eb="2">
      <t>オリ</t>
    </rPh>
    <phoneticPr fontId="2"/>
  </si>
  <si>
    <t>部数決定は注文書にて。</t>
    <rPh sb="0" eb="2">
      <t>ブスウ</t>
    </rPh>
    <rPh sb="2" eb="4">
      <t>ケッテイ</t>
    </rPh>
    <rPh sb="5" eb="8">
      <t>チュウモンショ</t>
    </rPh>
    <phoneticPr fontId="2"/>
  </si>
  <si>
    <t>3月号</t>
    <rPh sb="1" eb="3">
      <t>ガツゴウ</t>
    </rPh>
    <phoneticPr fontId="2"/>
  </si>
  <si>
    <t>5折</t>
    <rPh sb="1" eb="2">
      <t>オリ</t>
    </rPh>
    <phoneticPr fontId="2"/>
  </si>
  <si>
    <t>中村　陽</t>
    <rPh sb="0" eb="4">
      <t>ナカムラ</t>
    </rPh>
    <phoneticPr fontId="2"/>
  </si>
  <si>
    <t>竹田印刷　増田 様</t>
    <rPh sb="0" eb="9">
      <t>タケダ</t>
    </rPh>
    <phoneticPr fontId="2"/>
  </si>
  <si>
    <t>R</t>
    <phoneticPr fontId="2"/>
  </si>
  <si>
    <t>×</t>
    <phoneticPr fontId="2"/>
  </si>
  <si>
    <t>竹田印刷</t>
    <rPh sb="0" eb="4">
      <t>タケダインサツ</t>
    </rPh>
    <phoneticPr fontId="2"/>
  </si>
  <si>
    <t>1折</t>
    <rPh sb="1" eb="2">
      <t>オ</t>
    </rPh>
    <phoneticPr fontId="2"/>
  </si>
  <si>
    <t>貼り加工</t>
    <rPh sb="0" eb="1">
      <t>ハ</t>
    </rPh>
    <rPh sb="2" eb="4">
      <t>カコウ</t>
    </rPh>
    <phoneticPr fontId="2"/>
  </si>
  <si>
    <t>凸版情報加工　川口工場　新8棟</t>
    <phoneticPr fontId="2"/>
  </si>
  <si>
    <t>中島製本</t>
    <phoneticPr fontId="2"/>
  </si>
  <si>
    <t>中島製本</t>
    <rPh sb="0" eb="2">
      <t>ナカジマ</t>
    </rPh>
    <rPh sb="2" eb="4">
      <t>セイホン</t>
    </rPh>
    <phoneticPr fontId="2"/>
  </si>
  <si>
    <t>千代田プリントメディア　生産管理課　中村</t>
    <rPh sb="0" eb="20">
      <t>チヨダ</t>
    </rPh>
    <phoneticPr fontId="2"/>
  </si>
  <si>
    <t>製本日</t>
    <rPh sb="0" eb="2">
      <t>セイホン</t>
    </rPh>
    <rPh sb="2" eb="3">
      <t>ビ</t>
    </rPh>
    <phoneticPr fontId="2"/>
  </si>
  <si>
    <t>見本出し</t>
    <rPh sb="0" eb="2">
      <t>ミホン</t>
    </rPh>
    <rPh sb="2" eb="3">
      <t>ダ</t>
    </rPh>
    <phoneticPr fontId="2"/>
  </si>
  <si>
    <t>発売日</t>
    <rPh sb="0" eb="3">
      <t>ハツバイビ</t>
    </rPh>
    <phoneticPr fontId="2"/>
  </si>
  <si>
    <t>①折（加工折）納入</t>
    <rPh sb="1" eb="2">
      <t>オ</t>
    </rPh>
    <rPh sb="3" eb="5">
      <t>カコウ</t>
    </rPh>
    <rPh sb="5" eb="6">
      <t>オ</t>
    </rPh>
    <rPh sb="7" eb="9">
      <t>ノウニュウ</t>
    </rPh>
    <phoneticPr fontId="2"/>
  </si>
  <si>
    <t>④折下版</t>
    <rPh sb="1" eb="2">
      <t>オ</t>
    </rPh>
    <rPh sb="2" eb="4">
      <t>ゲハン</t>
    </rPh>
    <phoneticPr fontId="2"/>
  </si>
  <si>
    <r>
      <t>①</t>
    </r>
    <r>
      <rPr>
        <sz val="11"/>
        <rFont val="ＭＳ Ｐゴシック"/>
        <family val="3"/>
        <charset val="128"/>
      </rPr>
      <t>・⑤折下版</t>
    </r>
    <rPh sb="3" eb="4">
      <t>オ</t>
    </rPh>
    <rPh sb="4" eb="6">
      <t>ゲハン</t>
    </rPh>
    <phoneticPr fontId="2"/>
  </si>
  <si>
    <r>
      <t>②</t>
    </r>
    <r>
      <rPr>
        <sz val="11"/>
        <rFont val="ＭＳ Ｐゴシック"/>
        <family val="3"/>
        <charset val="128"/>
      </rPr>
      <t>・③折下版</t>
    </r>
    <rPh sb="3" eb="4">
      <t>オ</t>
    </rPh>
    <rPh sb="4" eb="6">
      <t>ゲハン</t>
    </rPh>
    <phoneticPr fontId="2"/>
  </si>
  <si>
    <t>委託元は法令・ガイドライン等を遵守している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</si>
</sst>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 "/>
    <numFmt numFmtId="177" formatCode="m/d;@"/>
    <numFmt numFmtId="178" formatCode="0_ "/>
    <numFmt numFmtId="179" formatCode="aaa"/>
    <numFmt numFmtId="180" formatCode="yyyy/m/d;@"/>
  </numFmts>
  <fonts count="2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sz val="2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b/>
      <sz val="20"/>
      <color indexed="8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ajor"/>
    </font>
    <font>
      <sz val="10.5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trike/>
      <sz val="9"/>
      <name val="ＭＳ Ｐゴシック"/>
      <family val="3"/>
      <charset val="128"/>
    </font>
    <font>
      <sz val="26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59">
    <border>
      <left/>
      <right/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ashed">
        <color indexed="64"/>
      </right>
      <top style="dotted">
        <color indexed="64"/>
      </top>
      <bottom style="dotted">
        <color indexed="64"/>
      </bottom>
      <diagonal/>
    </border>
    <border>
      <left style="dash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ashed">
        <color indexed="64"/>
      </right>
      <top style="dotted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ashed">
        <color indexed="64"/>
      </right>
      <top style="medium">
        <color indexed="64"/>
      </top>
      <bottom style="dotted">
        <color indexed="64"/>
      </bottom>
      <diagonal/>
    </border>
    <border>
      <left style="dash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ash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dashed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ashed">
        <color indexed="64"/>
      </right>
      <top style="dotted">
        <color indexed="64"/>
      </top>
      <bottom/>
      <diagonal/>
    </border>
    <border>
      <left style="dash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dotted">
        <color indexed="64"/>
      </bottom>
      <diagonal/>
    </border>
    <border>
      <left/>
      <right/>
      <top style="thick">
        <color rgb="FFFF0000"/>
      </top>
      <bottom style="dotted">
        <color indexed="64"/>
      </bottom>
      <diagonal/>
    </border>
    <border>
      <left/>
      <right style="dashed">
        <color indexed="64"/>
      </right>
      <top style="thick">
        <color rgb="FFFF0000"/>
      </top>
      <bottom style="dotted">
        <color indexed="64"/>
      </bottom>
      <diagonal/>
    </border>
    <border>
      <left style="dashed">
        <color indexed="64"/>
      </left>
      <right/>
      <top style="thick">
        <color rgb="FFFF0000"/>
      </top>
      <bottom style="dotted">
        <color indexed="64"/>
      </bottom>
      <diagonal/>
    </border>
    <border>
      <left/>
      <right style="thick">
        <color rgb="FFFF0000"/>
      </right>
      <top style="thick">
        <color rgb="FFFF0000"/>
      </top>
      <bottom style="dotted">
        <color indexed="64"/>
      </bottom>
      <diagonal/>
    </border>
    <border>
      <left style="thick">
        <color rgb="FFFF0000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rgb="FFFF0000"/>
      </right>
      <top style="dotted">
        <color indexed="64"/>
      </top>
      <bottom style="dotted">
        <color indexed="64"/>
      </bottom>
      <diagonal/>
    </border>
    <border>
      <left style="thick">
        <color rgb="FFFF0000"/>
      </left>
      <right/>
      <top style="dotted">
        <color indexed="64"/>
      </top>
      <bottom style="thick">
        <color rgb="FFFF0000"/>
      </bottom>
      <diagonal/>
    </border>
    <border>
      <left/>
      <right/>
      <top style="dotted">
        <color indexed="64"/>
      </top>
      <bottom style="thick">
        <color rgb="FFFF0000"/>
      </bottom>
      <diagonal/>
    </border>
    <border>
      <left/>
      <right style="dashed">
        <color indexed="64"/>
      </right>
      <top style="dotted">
        <color indexed="64"/>
      </top>
      <bottom style="thick">
        <color rgb="FFFF0000"/>
      </bottom>
      <diagonal/>
    </border>
    <border>
      <left style="dashed">
        <color indexed="64"/>
      </left>
      <right/>
      <top style="dotted">
        <color indexed="64"/>
      </top>
      <bottom style="thick">
        <color rgb="FFFF0000"/>
      </bottom>
      <diagonal/>
    </border>
    <border>
      <left/>
      <right style="thick">
        <color rgb="FFFF0000"/>
      </right>
      <top style="dotted">
        <color indexed="64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/>
      <right/>
      <top style="thick">
        <color rgb="FFFF0000"/>
      </top>
      <bottom style="thin">
        <color indexed="64"/>
      </bottom>
      <diagonal/>
    </border>
    <border>
      <left/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/>
      <top style="thick">
        <color rgb="FFFF0000"/>
      </top>
      <bottom style="thin">
        <color indexed="64"/>
      </bottom>
      <diagonal/>
    </border>
    <border>
      <left style="thin">
        <color indexed="64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/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thick">
        <color rgb="FFFF0000"/>
      </bottom>
      <diagonal/>
    </border>
    <border>
      <left/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dotted">
        <color indexed="64"/>
      </right>
      <top style="thick">
        <color rgb="FFFF0000"/>
      </top>
      <bottom/>
      <diagonal/>
    </border>
    <border>
      <left style="dotted">
        <color indexed="64"/>
      </left>
      <right style="dotted">
        <color indexed="64"/>
      </right>
      <top style="thick">
        <color rgb="FFFF0000"/>
      </top>
      <bottom/>
      <diagonal/>
    </border>
    <border>
      <left style="dotted">
        <color indexed="64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ck">
        <color rgb="FFFF0000"/>
      </right>
      <top style="thin">
        <color indexed="64"/>
      </top>
      <bottom/>
      <diagonal/>
    </border>
    <border>
      <left style="thick">
        <color rgb="FFFF0000"/>
      </left>
      <right style="dotted">
        <color indexed="64"/>
      </right>
      <top style="thin">
        <color indexed="64"/>
      </top>
      <bottom style="thick">
        <color rgb="FFFF0000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ck">
        <color rgb="FFFF0000"/>
      </bottom>
      <diagonal/>
    </border>
    <border>
      <left style="dotted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</borders>
  <cellStyleXfs count="1">
    <xf numFmtId="0" fontId="0" fillId="0" borderId="0">
      <alignment vertical="center"/>
    </xf>
  </cellStyleXfs>
  <cellXfs count="778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shrinkToFit="1"/>
    </xf>
    <xf numFmtId="0" fontId="7" fillId="0" borderId="3" xfId="0" applyFont="1" applyBorder="1" applyAlignment="1">
      <alignment horizontal="center" vertical="center" shrinkToFit="1"/>
    </xf>
    <xf numFmtId="0" fontId="4" fillId="2" borderId="4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>
      <alignment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15" xfId="0" applyFont="1" applyFill="1" applyBorder="1">
      <alignment vertical="center"/>
    </xf>
    <xf numFmtId="0" fontId="4" fillId="2" borderId="16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 applyAlignment="1">
      <alignment vertical="center"/>
    </xf>
    <xf numFmtId="0" fontId="4" fillId="2" borderId="20" xfId="0" applyFont="1" applyFill="1" applyBorder="1" applyAlignment="1">
      <alignment vertical="center"/>
    </xf>
    <xf numFmtId="0" fontId="4" fillId="2" borderId="21" xfId="0" applyFont="1" applyFill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13" fillId="0" borderId="0" xfId="0" applyFont="1">
      <alignment vertical="center"/>
    </xf>
    <xf numFmtId="0" fontId="4" fillId="0" borderId="0" xfId="0" applyFont="1" applyFill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shrinkToFit="1"/>
    </xf>
    <xf numFmtId="0" fontId="4" fillId="0" borderId="2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shrinkToFit="1"/>
    </xf>
    <xf numFmtId="0" fontId="6" fillId="0" borderId="3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 shrinkToFit="1"/>
    </xf>
    <xf numFmtId="0" fontId="4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14" fillId="0" borderId="0" xfId="0" applyFont="1">
      <alignment vertical="center"/>
    </xf>
    <xf numFmtId="0" fontId="14" fillId="3" borderId="0" xfId="0" applyFont="1" applyFill="1" applyAlignment="1">
      <alignment horizontal="center" vertical="center"/>
    </xf>
    <xf numFmtId="0" fontId="14" fillId="2" borderId="4" xfId="0" applyFont="1" applyFill="1" applyBorder="1">
      <alignment vertical="center"/>
    </xf>
    <xf numFmtId="0" fontId="14" fillId="2" borderId="5" xfId="0" applyFont="1" applyFill="1" applyBorder="1">
      <alignment vertical="center"/>
    </xf>
    <xf numFmtId="0" fontId="14" fillId="2" borderId="6" xfId="0" applyFont="1" applyFill="1" applyBorder="1">
      <alignment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left" vertical="center"/>
    </xf>
    <xf numFmtId="0" fontId="14" fillId="2" borderId="0" xfId="0" applyFont="1" applyFill="1">
      <alignment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7" xfId="0" applyFont="1" applyFill="1" applyBorder="1">
      <alignment vertical="center"/>
    </xf>
    <xf numFmtId="0" fontId="14" fillId="2" borderId="15" xfId="0" applyFont="1" applyFill="1" applyBorder="1">
      <alignment vertical="center"/>
    </xf>
    <xf numFmtId="0" fontId="14" fillId="2" borderId="0" xfId="0" applyFont="1" applyFill="1" applyAlignment="1">
      <alignment horizontal="right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vertical="center"/>
    </xf>
    <xf numFmtId="0" fontId="14" fillId="2" borderId="10" xfId="0" applyFont="1" applyFill="1" applyBorder="1">
      <alignment vertical="center"/>
    </xf>
    <xf numFmtId="0" fontId="14" fillId="2" borderId="11" xfId="0" applyFont="1" applyFill="1" applyBorder="1">
      <alignment vertical="center"/>
    </xf>
    <xf numFmtId="0" fontId="15" fillId="0" borderId="1" xfId="0" applyFont="1" applyFill="1" applyBorder="1" applyAlignment="1">
      <alignment horizontal="center" vertical="center" shrinkToFit="1"/>
    </xf>
    <xf numFmtId="0" fontId="16" fillId="0" borderId="2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 shrinkToFit="1"/>
    </xf>
    <xf numFmtId="0" fontId="14" fillId="2" borderId="20" xfId="0" applyFont="1" applyFill="1" applyBorder="1" applyAlignment="1">
      <alignment vertical="center"/>
    </xf>
    <xf numFmtId="0" fontId="14" fillId="2" borderId="21" xfId="0" applyFont="1" applyFill="1" applyBorder="1" applyAlignment="1">
      <alignment vertical="center"/>
    </xf>
    <xf numFmtId="0" fontId="14" fillId="0" borderId="0" xfId="0" applyFont="1" applyFill="1">
      <alignment vertical="center"/>
    </xf>
    <xf numFmtId="0" fontId="0" fillId="0" borderId="0" xfId="0" applyFont="1">
      <alignment vertical="center"/>
    </xf>
    <xf numFmtId="0" fontId="19" fillId="0" borderId="0" xfId="0" applyFont="1">
      <alignment vertical="center"/>
    </xf>
    <xf numFmtId="0" fontId="18" fillId="0" borderId="0" xfId="0" applyFont="1">
      <alignment vertical="center"/>
    </xf>
    <xf numFmtId="0" fontId="14" fillId="2" borderId="0" xfId="0" applyFont="1" applyFill="1" applyBorder="1">
      <alignment vertical="center"/>
    </xf>
    <xf numFmtId="0" fontId="14" fillId="5" borderId="4" xfId="0" applyFont="1" applyFill="1" applyBorder="1">
      <alignment vertical="center"/>
    </xf>
    <xf numFmtId="0" fontId="0" fillId="5" borderId="5" xfId="0" applyFill="1" applyBorder="1" applyAlignment="1">
      <alignment horizontal="center" vertical="center"/>
    </xf>
    <xf numFmtId="0" fontId="14" fillId="5" borderId="5" xfId="0" applyFont="1" applyFill="1" applyBorder="1" applyAlignment="1" applyProtection="1">
      <alignment horizontal="center" vertical="center"/>
      <protection locked="0"/>
    </xf>
    <xf numFmtId="0" fontId="14" fillId="5" borderId="5" xfId="0" applyFont="1" applyFill="1" applyBorder="1" applyAlignment="1">
      <alignment vertical="center"/>
    </xf>
    <xf numFmtId="0" fontId="14" fillId="5" borderId="5" xfId="0" applyFont="1" applyFill="1" applyBorder="1" applyAlignment="1" applyProtection="1">
      <alignment vertical="center"/>
      <protection locked="0"/>
    </xf>
    <xf numFmtId="0" fontId="14" fillId="5" borderId="5" xfId="0" applyFont="1" applyFill="1" applyBorder="1" applyAlignment="1">
      <alignment horizontal="center" vertical="center"/>
    </xf>
    <xf numFmtId="177" fontId="14" fillId="5" borderId="5" xfId="0" applyNumberFormat="1" applyFont="1" applyFill="1" applyBorder="1" applyAlignment="1" applyProtection="1">
      <alignment vertical="center"/>
      <protection locked="0"/>
    </xf>
    <xf numFmtId="178" fontId="14" fillId="5" borderId="5" xfId="0" applyNumberFormat="1" applyFont="1" applyFill="1" applyBorder="1" applyAlignment="1" applyProtection="1">
      <alignment vertical="center"/>
      <protection locked="0"/>
    </xf>
    <xf numFmtId="0" fontId="0" fillId="5" borderId="5" xfId="0" applyFill="1" applyBorder="1" applyAlignment="1">
      <alignment vertical="center"/>
    </xf>
    <xf numFmtId="0" fontId="20" fillId="5" borderId="5" xfId="0" applyFont="1" applyFill="1" applyBorder="1" applyAlignment="1">
      <alignment horizontal="center" vertical="center"/>
    </xf>
    <xf numFmtId="0" fontId="21" fillId="5" borderId="5" xfId="0" applyFont="1" applyFill="1" applyBorder="1" applyAlignment="1">
      <alignment horizontal="center" vertical="center"/>
    </xf>
    <xf numFmtId="0" fontId="14" fillId="5" borderId="6" xfId="0" applyFont="1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  <protection locked="0"/>
    </xf>
    <xf numFmtId="0" fontId="15" fillId="0" borderId="116" xfId="0" applyFont="1" applyBorder="1">
      <alignment vertical="center"/>
    </xf>
    <xf numFmtId="0" fontId="15" fillId="6" borderId="116" xfId="0" applyFont="1" applyFill="1" applyBorder="1">
      <alignment vertical="center"/>
    </xf>
    <xf numFmtId="0" fontId="22" fillId="6" borderId="116" xfId="0" applyFont="1" applyFill="1" applyBorder="1">
      <alignment vertical="center"/>
    </xf>
    <xf numFmtId="0" fontId="22" fillId="0" borderId="116" xfId="0" applyFont="1" applyBorder="1">
      <alignment vertical="center"/>
    </xf>
    <xf numFmtId="49" fontId="15" fillId="0" borderId="116" xfId="0" applyNumberFormat="1" applyFont="1" applyBorder="1">
      <alignment vertical="center"/>
    </xf>
    <xf numFmtId="49" fontId="15" fillId="6" borderId="116" xfId="0" applyNumberFormat="1" applyFont="1" applyFill="1" applyBorder="1">
      <alignment vertical="center"/>
    </xf>
    <xf numFmtId="49" fontId="22" fillId="6" borderId="116" xfId="0" applyNumberFormat="1" applyFont="1" applyFill="1" applyBorder="1">
      <alignment vertical="center"/>
    </xf>
    <xf numFmtId="49" fontId="14" fillId="0" borderId="0" xfId="0" applyNumberFormat="1" applyFont="1">
      <alignment vertical="center"/>
    </xf>
    <xf numFmtId="0" fontId="3" fillId="0" borderId="1" xfId="0" applyFont="1" applyFill="1" applyBorder="1" applyAlignment="1">
      <alignment horizontal="center" vertical="center" shrinkToFit="1"/>
    </xf>
    <xf numFmtId="0" fontId="3" fillId="0" borderId="2" xfId="0" applyFont="1" applyFill="1" applyBorder="1" applyAlignment="1">
      <alignment horizontal="center" vertical="center" shrinkToFit="1"/>
    </xf>
    <xf numFmtId="0" fontId="0" fillId="5" borderId="12" xfId="0" applyFill="1" applyBorder="1" applyAlignment="1">
      <alignment vertical="center"/>
    </xf>
    <xf numFmtId="0" fontId="0" fillId="5" borderId="12" xfId="0" applyFill="1" applyBorder="1" applyAlignment="1">
      <alignment horizontal="center" vertical="center"/>
    </xf>
    <xf numFmtId="0" fontId="14" fillId="0" borderId="24" xfId="0" applyFont="1" applyFill="1" applyBorder="1" applyAlignment="1" applyProtection="1">
      <alignment vertical="center"/>
      <protection locked="0"/>
    </xf>
    <xf numFmtId="0" fontId="14" fillId="0" borderId="25" xfId="0" applyFont="1" applyFill="1" applyBorder="1" applyAlignment="1" applyProtection="1">
      <alignment vertical="center"/>
      <protection locked="0"/>
    </xf>
    <xf numFmtId="0" fontId="14" fillId="0" borderId="26" xfId="0" applyFont="1" applyFill="1" applyBorder="1" applyAlignment="1" applyProtection="1">
      <alignment vertical="center"/>
      <protection locked="0"/>
    </xf>
    <xf numFmtId="0" fontId="14" fillId="0" borderId="10" xfId="0" applyFont="1" applyFill="1" applyBorder="1" applyAlignment="1" applyProtection="1">
      <alignment vertical="center"/>
      <protection locked="0"/>
    </xf>
    <xf numFmtId="0" fontId="14" fillId="0" borderId="23" xfId="0" applyFont="1" applyFill="1" applyBorder="1" applyAlignment="1" applyProtection="1">
      <alignment vertical="center"/>
      <protection locked="0"/>
    </xf>
    <xf numFmtId="0" fontId="14" fillId="0" borderId="11" xfId="0" applyFont="1" applyFill="1" applyBorder="1" applyAlignment="1" applyProtection="1">
      <alignment vertical="center"/>
      <protection locked="0"/>
    </xf>
    <xf numFmtId="0" fontId="18" fillId="0" borderId="139" xfId="0" applyFont="1" applyFill="1" applyBorder="1" applyAlignment="1" applyProtection="1">
      <alignment horizontal="center" vertical="center"/>
      <protection locked="0"/>
    </xf>
    <xf numFmtId="0" fontId="18" fillId="0" borderId="140" xfId="0" applyFont="1" applyFill="1" applyBorder="1" applyAlignment="1" applyProtection="1">
      <alignment horizontal="center" vertical="center"/>
      <protection locked="0"/>
    </xf>
    <xf numFmtId="0" fontId="18" fillId="0" borderId="141" xfId="0" applyFont="1" applyFill="1" applyBorder="1" applyAlignment="1" applyProtection="1">
      <alignment horizontal="center" vertical="center"/>
      <protection locked="0"/>
    </xf>
    <xf numFmtId="0" fontId="14" fillId="0" borderId="30" xfId="0" applyFont="1" applyFill="1" applyBorder="1" applyAlignment="1" applyProtection="1">
      <alignment horizontal="center" vertical="center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14" fillId="0" borderId="143" xfId="0" applyFont="1" applyFill="1" applyBorder="1" applyAlignment="1" applyProtection="1">
      <alignment horizontal="center" vertical="center"/>
      <protection locked="0"/>
    </xf>
    <xf numFmtId="0" fontId="14" fillId="0" borderId="147" xfId="0" applyFont="1" applyFill="1" applyBorder="1" applyAlignment="1" applyProtection="1">
      <alignment horizontal="center" vertical="center"/>
      <protection locked="0"/>
    </xf>
    <xf numFmtId="0" fontId="14" fillId="0" borderId="148" xfId="0" applyFont="1" applyFill="1" applyBorder="1" applyAlignment="1" applyProtection="1">
      <alignment horizontal="center" vertical="center"/>
      <protection locked="0"/>
    </xf>
    <xf numFmtId="0" fontId="14" fillId="0" borderId="150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vertical="center"/>
      <protection locked="0"/>
    </xf>
    <xf numFmtId="0" fontId="16" fillId="0" borderId="53" xfId="0" applyFont="1" applyFill="1" applyBorder="1" applyAlignment="1" applyProtection="1">
      <alignment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6" xfId="0" applyFont="1" applyFill="1" applyBorder="1" applyAlignment="1" applyProtection="1">
      <alignment vertical="center"/>
      <protection locked="0"/>
    </xf>
    <xf numFmtId="0" fontId="17" fillId="0" borderId="3" xfId="0" applyFont="1" applyFill="1" applyBorder="1" applyAlignment="1" applyProtection="1">
      <alignment vertical="center"/>
      <protection locked="0"/>
    </xf>
    <xf numFmtId="0" fontId="17" fillId="0" borderId="37" xfId="0" applyFont="1" applyFill="1" applyBorder="1" applyAlignment="1" applyProtection="1">
      <alignment vertical="center"/>
      <protection locked="0"/>
    </xf>
    <xf numFmtId="0" fontId="16" fillId="3" borderId="38" xfId="0" applyFont="1" applyFill="1" applyBorder="1" applyAlignment="1">
      <alignment horizontal="center" vertical="center"/>
    </xf>
    <xf numFmtId="0" fontId="1" fillId="0" borderId="2" xfId="0" applyFont="1" applyFill="1" applyBorder="1" applyAlignment="1" applyProtection="1">
      <alignment vertical="center"/>
      <protection locked="0"/>
    </xf>
    <xf numFmtId="0" fontId="1" fillId="0" borderId="39" xfId="0" applyFont="1" applyFill="1" applyBorder="1" applyAlignment="1" applyProtection="1">
      <alignment vertical="center"/>
      <protection locked="0"/>
    </xf>
    <xf numFmtId="176" fontId="0" fillId="0" borderId="2" xfId="0" applyNumberFormat="1" applyFont="1" applyFill="1" applyBorder="1" applyAlignment="1" applyProtection="1">
      <alignment horizontal="right" vertical="center" shrinkToFit="1"/>
      <protection locked="0"/>
    </xf>
    <xf numFmtId="0" fontId="16" fillId="3" borderId="40" xfId="0" applyFont="1" applyFill="1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0" fontId="1" fillId="0" borderId="2" xfId="0" applyFont="1" applyFill="1" applyBorder="1" applyAlignment="1" applyProtection="1">
      <alignment horizontal="center" vertical="center" shrinkToFit="1"/>
      <protection locked="0"/>
    </xf>
    <xf numFmtId="0" fontId="16" fillId="0" borderId="41" xfId="0" applyFont="1" applyFill="1" applyBorder="1" applyAlignment="1" applyProtection="1">
      <alignment horizontal="center" vertical="center"/>
      <protection locked="0"/>
    </xf>
    <xf numFmtId="0" fontId="16" fillId="0" borderId="42" xfId="0" applyFont="1" applyFill="1" applyBorder="1" applyAlignment="1" applyProtection="1">
      <alignment horizontal="center" vertical="center"/>
      <protection locked="0"/>
    </xf>
    <xf numFmtId="0" fontId="16" fillId="0" borderId="22" xfId="0" applyFont="1" applyFill="1" applyBorder="1" applyAlignment="1" applyProtection="1">
      <alignment horizontal="center" vertical="center"/>
      <protection locked="0"/>
    </xf>
    <xf numFmtId="176" fontId="14" fillId="0" borderId="30" xfId="0" applyNumberFormat="1" applyFont="1" applyFill="1" applyBorder="1" applyAlignment="1" applyProtection="1">
      <alignment vertical="center"/>
      <protection locked="0"/>
    </xf>
    <xf numFmtId="176" fontId="14" fillId="0" borderId="31" xfId="0" applyNumberFormat="1" applyFont="1" applyFill="1" applyBorder="1" applyAlignment="1" applyProtection="1">
      <alignment vertical="center"/>
      <protection locked="0"/>
    </xf>
    <xf numFmtId="176" fontId="14" fillId="0" borderId="32" xfId="0" applyNumberFormat="1" applyFont="1" applyFill="1" applyBorder="1" applyAlignment="1" applyProtection="1">
      <alignment vertical="center"/>
      <protection locked="0"/>
    </xf>
    <xf numFmtId="176" fontId="14" fillId="0" borderId="147" xfId="0" applyNumberFormat="1" applyFont="1" applyFill="1" applyBorder="1" applyAlignment="1" applyProtection="1">
      <alignment vertical="center"/>
      <protection locked="0"/>
    </xf>
    <xf numFmtId="176" fontId="14" fillId="0" borderId="148" xfId="0" applyNumberFormat="1" applyFont="1" applyFill="1" applyBorder="1" applyAlignment="1" applyProtection="1">
      <alignment vertical="center"/>
      <protection locked="0"/>
    </xf>
    <xf numFmtId="176" fontId="14" fillId="0" borderId="149" xfId="0" applyNumberFormat="1" applyFont="1" applyFill="1" applyBorder="1" applyAlignment="1" applyProtection="1">
      <alignment vertical="center"/>
      <protection locked="0"/>
    </xf>
    <xf numFmtId="176" fontId="16" fillId="0" borderId="34" xfId="0" applyNumberFormat="1" applyFont="1" applyFill="1" applyBorder="1" applyAlignment="1" applyProtection="1">
      <alignment vertical="center"/>
      <protection locked="0"/>
    </xf>
    <xf numFmtId="176" fontId="16" fillId="0" borderId="53" xfId="0" applyNumberFormat="1" applyFont="1" applyFill="1" applyBorder="1" applyAlignment="1" applyProtection="1">
      <alignment vertical="center"/>
      <protection locked="0"/>
    </xf>
    <xf numFmtId="176" fontId="16" fillId="0" borderId="54" xfId="0" applyNumberFormat="1" applyFont="1" applyFill="1" applyBorder="1" applyAlignment="1" applyProtection="1">
      <alignment vertical="center"/>
      <protection locked="0"/>
    </xf>
    <xf numFmtId="176" fontId="16" fillId="0" borderId="22" xfId="0" applyNumberFormat="1" applyFont="1" applyFill="1" applyBorder="1" applyAlignment="1" applyProtection="1">
      <alignment vertical="center"/>
      <protection locked="0"/>
    </xf>
    <xf numFmtId="176" fontId="16" fillId="0" borderId="42" xfId="0" applyNumberFormat="1" applyFont="1" applyFill="1" applyBorder="1" applyAlignment="1" applyProtection="1">
      <alignment vertical="center"/>
      <protection locked="0"/>
    </xf>
    <xf numFmtId="176" fontId="16" fillId="0" borderId="55" xfId="0" applyNumberFormat="1" applyFont="1" applyFill="1" applyBorder="1" applyAlignment="1" applyProtection="1">
      <alignment vertical="center"/>
      <protection locked="0"/>
    </xf>
    <xf numFmtId="176" fontId="16" fillId="0" borderId="56" xfId="0" applyNumberFormat="1" applyFont="1" applyFill="1" applyBorder="1" applyAlignment="1" applyProtection="1">
      <alignment vertical="center"/>
      <protection locked="0"/>
    </xf>
    <xf numFmtId="176" fontId="16" fillId="0" borderId="46" xfId="0" applyNumberFormat="1" applyFont="1" applyFill="1" applyBorder="1" applyAlignment="1" applyProtection="1">
      <alignment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14" fillId="3" borderId="142" xfId="0" applyFont="1" applyFill="1" applyBorder="1" applyAlignment="1">
      <alignment horizontal="center" vertical="center"/>
    </xf>
    <xf numFmtId="0" fontId="14" fillId="3" borderId="43" xfId="0" applyFont="1" applyFill="1" applyBorder="1" applyAlignment="1">
      <alignment horizontal="center" vertical="center"/>
    </xf>
    <xf numFmtId="0" fontId="14" fillId="3" borderId="144" xfId="0" applyFont="1" applyFill="1" applyBorder="1" applyAlignment="1">
      <alignment horizontal="center" vertical="center"/>
    </xf>
    <xf numFmtId="0" fontId="14" fillId="3" borderId="31" xfId="0" applyFont="1" applyFill="1" applyBorder="1" applyAlignment="1">
      <alignment horizontal="center" vertical="center"/>
    </xf>
    <xf numFmtId="0" fontId="14" fillId="3" borderId="32" xfId="0" applyFont="1" applyFill="1" applyBorder="1" applyAlignment="1">
      <alignment horizontal="center" vertical="center"/>
    </xf>
    <xf numFmtId="0" fontId="14" fillId="3" borderId="145" xfId="0" applyFont="1" applyFill="1" applyBorder="1" applyAlignment="1">
      <alignment horizontal="center" vertical="center"/>
    </xf>
    <xf numFmtId="0" fontId="14" fillId="3" borderId="146" xfId="0" applyFont="1" applyFill="1" applyBorder="1" applyAlignment="1">
      <alignment horizontal="center" vertical="center"/>
    </xf>
    <xf numFmtId="0" fontId="16" fillId="0" borderId="46" xfId="0" applyFont="1" applyFill="1" applyBorder="1" applyAlignment="1" applyProtection="1">
      <alignment horizontal="center" vertical="center"/>
      <protection locked="0"/>
    </xf>
    <xf numFmtId="0" fontId="16" fillId="0" borderId="52" xfId="0" applyFont="1" applyFill="1" applyBorder="1" applyAlignment="1" applyProtection="1">
      <alignment horizontal="center" vertical="center"/>
      <protection locked="0"/>
    </xf>
    <xf numFmtId="176" fontId="16" fillId="0" borderId="2" xfId="0" applyNumberFormat="1" applyFont="1" applyFill="1" applyBorder="1" applyAlignment="1" applyProtection="1">
      <alignment horizontal="right" vertical="center"/>
      <protection locked="0"/>
    </xf>
    <xf numFmtId="0" fontId="14" fillId="3" borderId="13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vertical="center"/>
    </xf>
    <xf numFmtId="0" fontId="14" fillId="3" borderId="14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14" fillId="3" borderId="15" xfId="0" applyFont="1" applyFill="1" applyBorder="1" applyAlignment="1">
      <alignment vertical="center"/>
    </xf>
    <xf numFmtId="0" fontId="14" fillId="3" borderId="10" xfId="0" applyFont="1" applyFill="1" applyBorder="1" applyAlignment="1">
      <alignment vertical="center"/>
    </xf>
    <xf numFmtId="0" fontId="14" fillId="3" borderId="23" xfId="0" applyFont="1" applyFill="1" applyBorder="1" applyAlignment="1">
      <alignment vertical="center"/>
    </xf>
    <xf numFmtId="0" fontId="14" fillId="3" borderId="11" xfId="0" applyFont="1" applyFill="1" applyBorder="1" applyAlignment="1">
      <alignment vertical="center"/>
    </xf>
    <xf numFmtId="0" fontId="14" fillId="3" borderId="30" xfId="0" applyFont="1" applyFill="1" applyBorder="1" applyAlignment="1">
      <alignment horizontal="center" vertical="center"/>
    </xf>
    <xf numFmtId="0" fontId="14" fillId="0" borderId="32" xfId="0" applyFont="1" applyFill="1" applyBorder="1" applyAlignment="1" applyProtection="1">
      <alignment horizontal="center" vertical="center"/>
      <protection locked="0"/>
    </xf>
    <xf numFmtId="176" fontId="14" fillId="0" borderId="138" xfId="0" applyNumberFormat="1" applyFont="1" applyFill="1" applyBorder="1" applyAlignment="1" applyProtection="1">
      <alignment vertical="center"/>
      <protection locked="0"/>
    </xf>
    <xf numFmtId="176" fontId="14" fillId="0" borderId="136" xfId="0" applyNumberFormat="1" applyFont="1" applyFill="1" applyBorder="1" applyAlignment="1" applyProtection="1">
      <alignment vertical="center"/>
      <protection locked="0"/>
    </xf>
    <xf numFmtId="176" fontId="14" fillId="0" borderId="137" xfId="0" applyNumberFormat="1" applyFont="1" applyFill="1" applyBorder="1" applyAlignment="1" applyProtection="1">
      <alignment vertical="center"/>
      <protection locked="0"/>
    </xf>
    <xf numFmtId="0" fontId="14" fillId="3" borderId="44" xfId="0" applyFont="1" applyFill="1" applyBorder="1" applyAlignment="1">
      <alignment horizontal="center" vertical="center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3" borderId="33" xfId="0" applyFont="1" applyFill="1" applyBorder="1" applyAlignment="1">
      <alignment horizontal="center" vertical="center"/>
    </xf>
    <xf numFmtId="0" fontId="14" fillId="3" borderId="34" xfId="0" applyFont="1" applyFill="1" applyBorder="1" applyAlignment="1">
      <alignment horizontal="center" vertical="center"/>
    </xf>
    <xf numFmtId="0" fontId="14" fillId="3" borderId="35" xfId="0" applyFont="1" applyFill="1" applyBorder="1" applyAlignment="1">
      <alignment horizontal="center" vertical="center"/>
    </xf>
    <xf numFmtId="0" fontId="16" fillId="3" borderId="12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16" fillId="0" borderId="45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 shrinkToFit="1"/>
      <protection locked="0"/>
    </xf>
    <xf numFmtId="0" fontId="1" fillId="0" borderId="31" xfId="0" applyFont="1" applyFill="1" applyBorder="1" applyAlignment="1" applyProtection="1">
      <alignment horizontal="center" vertical="center" shrinkToFit="1"/>
      <protection locked="0"/>
    </xf>
    <xf numFmtId="0" fontId="1" fillId="0" borderId="59" xfId="0" applyFont="1" applyFill="1" applyBorder="1" applyAlignment="1" applyProtection="1">
      <alignment horizontal="center" vertical="center" shrinkToFit="1"/>
      <protection locked="0"/>
    </xf>
    <xf numFmtId="0" fontId="1" fillId="0" borderId="22" xfId="0" applyFont="1" applyFill="1" applyBorder="1" applyAlignment="1" applyProtection="1">
      <alignment horizontal="center" vertical="center" shrinkToFit="1"/>
      <protection locked="0"/>
    </xf>
    <xf numFmtId="0" fontId="16" fillId="3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16" fillId="0" borderId="46" xfId="0" applyNumberFormat="1" applyFont="1" applyFill="1" applyBorder="1" applyAlignment="1" applyProtection="1">
      <alignment horizontal="right" vertical="center"/>
      <protection locked="0"/>
    </xf>
    <xf numFmtId="0" fontId="16" fillId="0" borderId="50" xfId="0" applyFont="1" applyFill="1" applyBorder="1" applyAlignment="1" applyProtection="1">
      <alignment horizontal="center" vertical="center"/>
      <protection locked="0"/>
    </xf>
    <xf numFmtId="0" fontId="16" fillId="0" borderId="2" xfId="0" applyFont="1" applyFill="1" applyBorder="1" applyAlignment="1" applyProtection="1">
      <alignment horizontal="center" vertical="center"/>
      <protection locked="0"/>
    </xf>
    <xf numFmtId="0" fontId="16" fillId="3" borderId="47" xfId="0" applyFont="1" applyFill="1" applyBorder="1" applyAlignment="1">
      <alignment horizontal="center" vertical="center"/>
    </xf>
    <xf numFmtId="0" fontId="16" fillId="3" borderId="48" xfId="0" applyFont="1" applyFill="1" applyBorder="1" applyAlignment="1">
      <alignment horizontal="center" vertical="center"/>
    </xf>
    <xf numFmtId="0" fontId="0" fillId="0" borderId="41" xfId="0" applyFill="1" applyBorder="1" applyAlignment="1" applyProtection="1">
      <alignment horizontal="center" vertical="center" shrinkToFit="1"/>
      <protection locked="0"/>
    </xf>
    <xf numFmtId="0" fontId="0" fillId="0" borderId="42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vertical="center"/>
      <protection locked="0"/>
    </xf>
    <xf numFmtId="0" fontId="0" fillId="0" borderId="2" xfId="0" applyFont="1" applyFill="1" applyBorder="1" applyAlignment="1" applyProtection="1">
      <alignment vertical="center"/>
      <protection locked="0"/>
    </xf>
    <xf numFmtId="0" fontId="0" fillId="0" borderId="39" xfId="0" applyFont="1" applyFill="1" applyBorder="1" applyAlignment="1" applyProtection="1">
      <alignment vertical="center"/>
      <protection locked="0"/>
    </xf>
    <xf numFmtId="0" fontId="16" fillId="3" borderId="7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51" xfId="0" applyFont="1" applyFill="1" applyBorder="1" applyAlignment="1">
      <alignment horizontal="center" vertical="center"/>
    </xf>
    <xf numFmtId="0" fontId="0" fillId="0" borderId="50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Fill="1" applyBorder="1" applyAlignment="1" applyProtection="1">
      <alignment vertical="center"/>
      <protection locked="0"/>
    </xf>
    <xf numFmtId="0" fontId="16" fillId="0" borderId="39" xfId="0" applyFont="1" applyFill="1" applyBorder="1" applyAlignment="1" applyProtection="1">
      <alignment vertical="center"/>
      <protection locked="0"/>
    </xf>
    <xf numFmtId="0" fontId="16" fillId="3" borderId="38" xfId="0" applyFont="1" applyFill="1" applyBorder="1" applyAlignment="1">
      <alignment vertical="center"/>
    </xf>
    <xf numFmtId="0" fontId="16" fillId="0" borderId="49" xfId="0" applyFont="1" applyFill="1" applyBorder="1" applyAlignment="1" applyProtection="1">
      <alignment horizontal="center" vertical="center"/>
      <protection locked="0"/>
    </xf>
    <xf numFmtId="176" fontId="0" fillId="0" borderId="54" xfId="0" applyNumberFormat="1" applyFont="1" applyFill="1" applyBorder="1" applyAlignment="1" applyProtection="1">
      <alignment vertical="center" shrinkToFit="1"/>
      <protection locked="0"/>
    </xf>
    <xf numFmtId="176" fontId="0" fillId="0" borderId="22" xfId="0" applyNumberFormat="1" applyFont="1" applyFill="1" applyBorder="1" applyAlignment="1" applyProtection="1">
      <alignment vertical="center" shrinkToFit="1"/>
      <protection locked="0"/>
    </xf>
    <xf numFmtId="176" fontId="0" fillId="0" borderId="42" xfId="0" applyNumberFormat="1" applyFont="1" applyFill="1" applyBorder="1" applyAlignment="1" applyProtection="1">
      <alignment vertical="center" shrinkToFit="1"/>
      <protection locked="0"/>
    </xf>
    <xf numFmtId="176" fontId="0" fillId="0" borderId="55" xfId="0" applyNumberFormat="1" applyFont="1" applyFill="1" applyBorder="1" applyAlignment="1" applyProtection="1">
      <alignment vertical="center" shrinkToFit="1"/>
      <protection locked="0"/>
    </xf>
    <xf numFmtId="0" fontId="16" fillId="0" borderId="57" xfId="0" applyFont="1" applyFill="1" applyBorder="1" applyAlignment="1" applyProtection="1">
      <alignment horizontal="center" vertical="center"/>
      <protection locked="0"/>
    </xf>
    <xf numFmtId="0" fontId="0" fillId="0" borderId="22" xfId="0" applyFont="1" applyFill="1" applyBorder="1" applyAlignment="1" applyProtection="1">
      <alignment horizontal="center" vertical="center" shrinkToFit="1"/>
      <protection locked="0"/>
    </xf>
    <xf numFmtId="0" fontId="1" fillId="0" borderId="57" xfId="0" applyFont="1" applyFill="1" applyBorder="1" applyAlignment="1" applyProtection="1">
      <alignment horizontal="center" vertical="center" shrinkToFit="1"/>
      <protection locked="0"/>
    </xf>
    <xf numFmtId="0" fontId="16" fillId="0" borderId="58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59" xfId="0" applyFont="1" applyFill="1" applyBorder="1" applyAlignment="1" applyProtection="1">
      <alignment horizontal="center" vertical="center"/>
      <protection locked="0"/>
    </xf>
    <xf numFmtId="0" fontId="0" fillId="0" borderId="58" xfId="0" applyFill="1" applyBorder="1" applyAlignment="1" applyProtection="1">
      <alignment horizontal="center" vertical="center" shrinkToFit="1"/>
      <protection locked="0"/>
    </xf>
    <xf numFmtId="0" fontId="14" fillId="0" borderId="22" xfId="0" applyFont="1" applyFill="1" applyBorder="1" applyAlignment="1" applyProtection="1">
      <alignment horizontal="center" vertical="center"/>
      <protection locked="0"/>
    </xf>
    <xf numFmtId="0" fontId="14" fillId="0" borderId="46" xfId="0" applyFont="1" applyFill="1" applyBorder="1" applyAlignment="1" applyProtection="1">
      <alignment horizontal="center" vertical="center"/>
      <protection locked="0"/>
    </xf>
    <xf numFmtId="0" fontId="16" fillId="0" borderId="22" xfId="0" applyFont="1" applyFill="1" applyBorder="1" applyAlignment="1" applyProtection="1">
      <alignment horizontal="center" vertical="center" shrinkToFit="1"/>
      <protection locked="0"/>
    </xf>
    <xf numFmtId="0" fontId="14" fillId="0" borderId="22" xfId="0" applyFont="1" applyFill="1" applyBorder="1" applyAlignment="1" applyProtection="1">
      <alignment horizontal="center" vertical="center" shrinkToFit="1"/>
      <protection locked="0"/>
    </xf>
    <xf numFmtId="0" fontId="16" fillId="0" borderId="3" xfId="0" applyFont="1" applyFill="1" applyBorder="1" applyAlignment="1" applyProtection="1">
      <alignment horizontal="center" vertical="center"/>
      <protection locked="0"/>
    </xf>
    <xf numFmtId="0" fontId="16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22" xfId="0" applyFill="1" applyBorder="1" applyAlignment="1" applyProtection="1">
      <alignment horizontal="center" vertical="center" shrinkToFit="1"/>
      <protection locked="0"/>
    </xf>
    <xf numFmtId="0" fontId="16" fillId="0" borderId="58" xfId="0" applyFont="1" applyFill="1" applyBorder="1" applyAlignment="1" applyProtection="1">
      <alignment horizontal="center" vertical="center" shrinkToFit="1"/>
      <protection locked="0"/>
    </xf>
    <xf numFmtId="0" fontId="16" fillId="0" borderId="31" xfId="0" applyFont="1" applyFill="1" applyBorder="1" applyAlignment="1" applyProtection="1">
      <alignment horizontal="center" vertical="center" shrinkToFit="1"/>
      <protection locked="0"/>
    </xf>
    <xf numFmtId="0" fontId="16" fillId="0" borderId="59" xfId="0" applyFont="1" applyFill="1" applyBorder="1" applyAlignment="1" applyProtection="1">
      <alignment horizontal="center" vertical="center" shrinkToFit="1"/>
      <protection locked="0"/>
    </xf>
    <xf numFmtId="0" fontId="15" fillId="0" borderId="22" xfId="0" applyFont="1" applyFill="1" applyBorder="1" applyAlignment="1" applyProtection="1">
      <alignment horizontal="center" vertical="center" shrinkToFit="1"/>
      <protection locked="0"/>
    </xf>
    <xf numFmtId="0" fontId="14" fillId="3" borderId="38" xfId="0" applyFont="1" applyFill="1" applyBorder="1" applyAlignment="1">
      <alignment horizontal="center" vertical="center"/>
    </xf>
    <xf numFmtId="0" fontId="14" fillId="3" borderId="29" xfId="0" applyFont="1" applyFill="1" applyBorder="1" applyAlignment="1">
      <alignment horizontal="center" vertical="center"/>
    </xf>
    <xf numFmtId="0" fontId="14" fillId="3" borderId="61" xfId="0" applyFont="1" applyFill="1" applyBorder="1" applyAlignment="1">
      <alignment horizontal="center" vertical="center"/>
    </xf>
    <xf numFmtId="0" fontId="14" fillId="3" borderId="62" xfId="0" applyFont="1" applyFill="1" applyBorder="1" applyAlignment="1">
      <alignment horizontal="center" vertical="center"/>
    </xf>
    <xf numFmtId="0" fontId="0" fillId="0" borderId="41" xfId="0" applyFont="1" applyFill="1" applyBorder="1" applyAlignment="1" applyProtection="1">
      <alignment horizontal="center" vertical="center" shrinkToFit="1"/>
      <protection locked="0"/>
    </xf>
    <xf numFmtId="0" fontId="14" fillId="0" borderId="42" xfId="0" applyFont="1" applyFill="1" applyBorder="1" applyAlignment="1" applyProtection="1">
      <alignment horizontal="center" vertical="center" shrinkToFit="1"/>
      <protection locked="0"/>
    </xf>
    <xf numFmtId="0" fontId="14" fillId="3" borderId="48" xfId="0" applyFont="1" applyFill="1" applyBorder="1" applyAlignment="1">
      <alignment horizontal="center" vertical="center"/>
    </xf>
    <xf numFmtId="0" fontId="14" fillId="3" borderId="63" xfId="0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0" fontId="3" fillId="3" borderId="38" xfId="0" applyFont="1" applyFill="1" applyBorder="1" applyAlignment="1">
      <alignment horizontal="center" vertical="center"/>
    </xf>
    <xf numFmtId="0" fontId="14" fillId="3" borderId="64" xfId="0" applyFont="1" applyFill="1" applyBorder="1" applyAlignment="1">
      <alignment horizontal="center" vertical="center"/>
    </xf>
    <xf numFmtId="0" fontId="14" fillId="3" borderId="27" xfId="0" applyFont="1" applyFill="1" applyBorder="1" applyAlignment="1">
      <alignment horizontal="center" vertical="center"/>
    </xf>
    <xf numFmtId="0" fontId="3" fillId="3" borderId="38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16" fillId="3" borderId="15" xfId="0" applyFont="1" applyFill="1" applyBorder="1" applyAlignment="1">
      <alignment vertical="center"/>
    </xf>
    <xf numFmtId="0" fontId="16" fillId="3" borderId="10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16" fillId="3" borderId="11" xfId="0" applyFont="1" applyFill="1" applyBorder="1" applyAlignment="1">
      <alignment vertical="center"/>
    </xf>
    <xf numFmtId="0" fontId="16" fillId="0" borderId="42" xfId="0" applyFont="1" applyFill="1" applyBorder="1" applyAlignment="1" applyProtection="1">
      <alignment horizontal="center" vertical="center" shrinkToFit="1"/>
      <protection locked="0"/>
    </xf>
    <xf numFmtId="0" fontId="0" fillId="0" borderId="23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4" fillId="0" borderId="65" xfId="0" applyFont="1" applyFill="1" applyBorder="1" applyAlignment="1" applyProtection="1">
      <alignment horizontal="center" vertical="center"/>
      <protection locked="0"/>
    </xf>
    <xf numFmtId="0" fontId="14" fillId="0" borderId="42" xfId="0" applyFont="1" applyFill="1" applyBorder="1" applyAlignment="1" applyProtection="1">
      <alignment horizontal="center" vertical="center"/>
      <protection locked="0"/>
    </xf>
    <xf numFmtId="0" fontId="14" fillId="3" borderId="9" xfId="0" applyFont="1" applyFill="1" applyBorder="1" applyAlignment="1">
      <alignment vertical="center"/>
    </xf>
    <xf numFmtId="0" fontId="14" fillId="3" borderId="66" xfId="0" applyFont="1" applyFill="1" applyBorder="1" applyAlignment="1">
      <alignment horizontal="center" vertical="center"/>
    </xf>
    <xf numFmtId="0" fontId="14" fillId="3" borderId="31" xfId="0" applyFont="1" applyFill="1" applyBorder="1" applyAlignment="1">
      <alignment vertical="center"/>
    </xf>
    <xf numFmtId="0" fontId="14" fillId="3" borderId="32" xfId="0" applyFont="1" applyFill="1" applyBorder="1" applyAlignment="1">
      <alignment vertical="center"/>
    </xf>
    <xf numFmtId="0" fontId="14" fillId="3" borderId="67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75" xfId="0" applyFont="1" applyFill="1" applyBorder="1" applyAlignment="1">
      <alignment horizontal="center" vertical="center"/>
    </xf>
    <xf numFmtId="177" fontId="14" fillId="0" borderId="76" xfId="0" applyNumberFormat="1" applyFont="1" applyFill="1" applyBorder="1" applyAlignment="1" applyProtection="1">
      <alignment vertical="center" shrinkToFit="1"/>
      <protection locked="0"/>
    </xf>
    <xf numFmtId="177" fontId="14" fillId="0" borderId="77" xfId="0" applyNumberFormat="1" applyFont="1" applyFill="1" applyBorder="1" applyAlignment="1" applyProtection="1">
      <alignment vertical="center" shrinkToFit="1"/>
      <protection locked="0"/>
    </xf>
    <xf numFmtId="177" fontId="14" fillId="0" borderId="78" xfId="0" applyNumberFormat="1" applyFont="1" applyFill="1" applyBorder="1" applyAlignment="1" applyProtection="1">
      <alignment vertical="center" shrinkToFit="1"/>
      <protection locked="0"/>
    </xf>
    <xf numFmtId="179" fontId="14" fillId="0" borderId="79" xfId="0" applyNumberFormat="1" applyFont="1" applyFill="1" applyBorder="1" applyAlignment="1" applyProtection="1">
      <alignment horizontal="center" vertical="center" shrinkToFit="1"/>
      <protection locked="0"/>
    </xf>
    <xf numFmtId="179" fontId="14" fillId="0" borderId="78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4" xfId="0" applyFont="1" applyFill="1" applyBorder="1" applyAlignment="1" applyProtection="1">
      <alignment vertical="center"/>
      <protection locked="0"/>
    </xf>
    <xf numFmtId="177" fontId="14" fillId="0" borderId="105" xfId="0" applyNumberFormat="1" applyFont="1" applyFill="1" applyBorder="1" applyAlignment="1" applyProtection="1">
      <alignment vertical="center" shrinkToFit="1"/>
      <protection locked="0"/>
    </xf>
    <xf numFmtId="177" fontId="14" fillId="0" borderId="103" xfId="0" applyNumberFormat="1" applyFont="1" applyFill="1" applyBorder="1" applyAlignment="1" applyProtection="1">
      <alignment vertical="center" shrinkToFit="1"/>
      <protection locked="0"/>
    </xf>
    <xf numFmtId="177" fontId="14" fillId="0" borderId="104" xfId="0" applyNumberFormat="1" applyFont="1" applyFill="1" applyBorder="1" applyAlignment="1" applyProtection="1">
      <alignment vertical="center" shrinkToFit="1"/>
      <protection locked="0"/>
    </xf>
    <xf numFmtId="179" fontId="14" fillId="4" borderId="106" xfId="0" applyNumberFormat="1" applyFont="1" applyFill="1" applyBorder="1" applyAlignment="1" applyProtection="1">
      <alignment horizontal="center" vertical="center" shrinkToFit="1"/>
      <protection locked="0"/>
    </xf>
    <xf numFmtId="179" fontId="14" fillId="4" borderId="104" xfId="0" applyNumberFormat="1" applyFont="1" applyFill="1" applyBorder="1" applyAlignment="1" applyProtection="1">
      <alignment horizontal="center" vertical="center" shrinkToFit="1"/>
      <protection locked="0"/>
    </xf>
    <xf numFmtId="0" fontId="14" fillId="4" borderId="106" xfId="0" applyFont="1" applyFill="1" applyBorder="1" applyAlignment="1" applyProtection="1">
      <alignment vertical="center" shrinkToFit="1"/>
      <protection locked="0"/>
    </xf>
    <xf numFmtId="0" fontId="14" fillId="4" borderId="103" xfId="0" applyFont="1" applyFill="1" applyBorder="1" applyAlignment="1" applyProtection="1">
      <alignment vertical="center" shrinkToFit="1"/>
      <protection locked="0"/>
    </xf>
    <xf numFmtId="0" fontId="14" fillId="4" borderId="107" xfId="0" applyFont="1" applyFill="1" applyBorder="1" applyAlignment="1" applyProtection="1">
      <alignment vertical="center" shrinkToFit="1"/>
      <protection locked="0"/>
    </xf>
    <xf numFmtId="177" fontId="14" fillId="4" borderId="105" xfId="0" applyNumberFormat="1" applyFont="1" applyFill="1" applyBorder="1" applyAlignment="1" applyProtection="1">
      <alignment vertical="center" shrinkToFit="1"/>
      <protection locked="0"/>
    </xf>
    <xf numFmtId="177" fontId="14" fillId="4" borderId="103" xfId="0" applyNumberFormat="1" applyFont="1" applyFill="1" applyBorder="1" applyAlignment="1" applyProtection="1">
      <alignment vertical="center" shrinkToFit="1"/>
      <protection locked="0"/>
    </xf>
    <xf numFmtId="177" fontId="14" fillId="4" borderId="104" xfId="0" applyNumberFormat="1" applyFont="1" applyFill="1" applyBorder="1" applyAlignment="1" applyProtection="1">
      <alignment vertical="center" shrinkToFit="1"/>
      <protection locked="0"/>
    </xf>
    <xf numFmtId="179" fontId="14" fillId="0" borderId="106" xfId="0" applyNumberFormat="1" applyFont="1" applyFill="1" applyBorder="1" applyAlignment="1" applyProtection="1">
      <alignment horizontal="center" vertical="center" shrinkToFit="1"/>
      <protection locked="0"/>
    </xf>
    <xf numFmtId="179" fontId="14" fillId="0" borderId="104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06" xfId="0" applyFill="1" applyBorder="1" applyAlignment="1" applyProtection="1">
      <alignment vertical="center" shrinkToFit="1"/>
      <protection locked="0"/>
    </xf>
    <xf numFmtId="0" fontId="14" fillId="0" borderId="103" xfId="0" applyFont="1" applyFill="1" applyBorder="1" applyAlignment="1" applyProtection="1">
      <alignment vertical="center" shrinkToFit="1"/>
      <protection locked="0"/>
    </xf>
    <xf numFmtId="0" fontId="14" fillId="0" borderId="107" xfId="0" applyFont="1" applyFill="1" applyBorder="1" applyAlignment="1" applyProtection="1">
      <alignment vertical="center" shrinkToFit="1"/>
      <protection locked="0"/>
    </xf>
    <xf numFmtId="0" fontId="0" fillId="4" borderId="106" xfId="0" applyFill="1" applyBorder="1" applyAlignment="1" applyProtection="1">
      <alignment vertical="center" shrinkToFit="1"/>
      <protection locked="0"/>
    </xf>
    <xf numFmtId="177" fontId="14" fillId="0" borderId="123" xfId="0" applyNumberFormat="1" applyFont="1" applyFill="1" applyBorder="1" applyAlignment="1" applyProtection="1">
      <alignment vertical="center" shrinkToFit="1"/>
      <protection locked="0"/>
    </xf>
    <xf numFmtId="177" fontId="14" fillId="0" borderId="124" xfId="0" applyNumberFormat="1" applyFont="1" applyFill="1" applyBorder="1" applyAlignment="1" applyProtection="1">
      <alignment vertical="center" shrinkToFit="1"/>
      <protection locked="0"/>
    </xf>
    <xf numFmtId="177" fontId="14" fillId="0" borderId="125" xfId="0" applyNumberFormat="1" applyFont="1" applyFill="1" applyBorder="1" applyAlignment="1" applyProtection="1">
      <alignment vertical="center" shrinkToFit="1"/>
      <protection locked="0"/>
    </xf>
    <xf numFmtId="179" fontId="14" fillId="0" borderId="126" xfId="0" applyNumberFormat="1" applyFont="1" applyFill="1" applyBorder="1" applyAlignment="1" applyProtection="1">
      <alignment horizontal="center" vertical="center" shrinkToFit="1"/>
      <protection locked="0"/>
    </xf>
    <xf numFmtId="179" fontId="14" fillId="0" borderId="125" xfId="0" applyNumberFormat="1" applyFont="1" applyFill="1" applyBorder="1" applyAlignment="1" applyProtection="1">
      <alignment horizontal="center" vertical="center" shrinkToFit="1"/>
      <protection locked="0"/>
    </xf>
    <xf numFmtId="0" fontId="14" fillId="0" borderId="121" xfId="0" applyFont="1" applyFill="1" applyBorder="1" applyAlignment="1" applyProtection="1">
      <alignment vertical="center" shrinkToFit="1"/>
      <protection locked="0"/>
    </xf>
    <xf numFmtId="0" fontId="14" fillId="0" borderId="119" xfId="0" applyFont="1" applyFill="1" applyBorder="1" applyAlignment="1" applyProtection="1">
      <alignment vertical="center" shrinkToFit="1"/>
      <protection locked="0"/>
    </xf>
    <xf numFmtId="0" fontId="14" fillId="0" borderId="122" xfId="0" applyFont="1" applyFill="1" applyBorder="1" applyAlignment="1" applyProtection="1">
      <alignment vertical="center" shrinkToFit="1"/>
      <protection locked="0"/>
    </xf>
    <xf numFmtId="0" fontId="0" fillId="0" borderId="106" xfId="0" applyFont="1" applyFill="1" applyBorder="1" applyAlignment="1" applyProtection="1">
      <alignment vertical="center" shrinkToFit="1"/>
      <protection locked="0"/>
    </xf>
    <xf numFmtId="0" fontId="14" fillId="0" borderId="106" xfId="0" applyFont="1" applyFill="1" applyBorder="1" applyAlignment="1" applyProtection="1">
      <alignment vertical="center" shrinkToFit="1"/>
      <protection locked="0"/>
    </xf>
    <xf numFmtId="177" fontId="14" fillId="0" borderId="130" xfId="0" applyNumberFormat="1" applyFont="1" applyFill="1" applyBorder="1" applyAlignment="1" applyProtection="1">
      <alignment vertical="center" shrinkToFit="1"/>
      <protection locked="0"/>
    </xf>
    <xf numFmtId="177" fontId="14" fillId="0" borderId="131" xfId="0" applyNumberFormat="1" applyFont="1" applyFill="1" applyBorder="1" applyAlignment="1" applyProtection="1">
      <alignment vertical="center" shrinkToFit="1"/>
      <protection locked="0"/>
    </xf>
    <xf numFmtId="177" fontId="14" fillId="0" borderId="132" xfId="0" applyNumberFormat="1" applyFont="1" applyFill="1" applyBorder="1" applyAlignment="1" applyProtection="1">
      <alignment vertical="center" shrinkToFit="1"/>
      <protection locked="0"/>
    </xf>
    <xf numFmtId="0" fontId="14" fillId="0" borderId="79" xfId="0" applyFont="1" applyFill="1" applyBorder="1" applyAlignment="1" applyProtection="1">
      <alignment vertical="center" shrinkToFit="1"/>
      <protection locked="0"/>
    </xf>
    <xf numFmtId="0" fontId="14" fillId="0" borderId="77" xfId="0" applyFont="1" applyFill="1" applyBorder="1" applyAlignment="1" applyProtection="1">
      <alignment vertical="center" shrinkToFit="1"/>
      <protection locked="0"/>
    </xf>
    <xf numFmtId="0" fontId="14" fillId="0" borderId="84" xfId="0" applyFont="1" applyFill="1" applyBorder="1" applyAlignment="1" applyProtection="1">
      <alignment vertical="center" shrinkToFit="1"/>
      <protection locked="0"/>
    </xf>
    <xf numFmtId="0" fontId="0" fillId="0" borderId="79" xfId="0" applyFill="1" applyBorder="1" applyAlignment="1" applyProtection="1">
      <alignment vertical="center" shrinkToFit="1"/>
      <protection locked="0"/>
    </xf>
    <xf numFmtId="177" fontId="14" fillId="0" borderId="118" xfId="0" applyNumberFormat="1" applyFont="1" applyFill="1" applyBorder="1" applyAlignment="1" applyProtection="1">
      <alignment vertical="center" shrinkToFit="1"/>
      <protection locked="0"/>
    </xf>
    <xf numFmtId="177" fontId="14" fillId="0" borderId="119" xfId="0" applyNumberFormat="1" applyFont="1" applyFill="1" applyBorder="1" applyAlignment="1" applyProtection="1">
      <alignment vertical="center" shrinkToFit="1"/>
      <protection locked="0"/>
    </xf>
    <xf numFmtId="177" fontId="14" fillId="0" borderId="120" xfId="0" applyNumberFormat="1" applyFont="1" applyFill="1" applyBorder="1" applyAlignment="1" applyProtection="1">
      <alignment vertical="center" shrinkToFit="1"/>
      <protection locked="0"/>
    </xf>
    <xf numFmtId="179" fontId="14" fillId="0" borderId="121" xfId="0" applyNumberFormat="1" applyFont="1" applyFill="1" applyBorder="1" applyAlignment="1" applyProtection="1">
      <alignment horizontal="center" vertical="center" shrinkToFit="1"/>
      <protection locked="0"/>
    </xf>
    <xf numFmtId="179" fontId="14" fillId="0" borderId="12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26" xfId="0" applyFont="1" applyFill="1" applyBorder="1" applyAlignment="1" applyProtection="1">
      <alignment vertical="center" shrinkToFit="1"/>
      <protection locked="0"/>
    </xf>
    <xf numFmtId="0" fontId="14" fillId="0" borderId="124" xfId="0" applyFont="1" applyFill="1" applyBorder="1" applyAlignment="1" applyProtection="1">
      <alignment vertical="center" shrinkToFit="1"/>
      <protection locked="0"/>
    </xf>
    <xf numFmtId="0" fontId="14" fillId="0" borderId="127" xfId="0" applyFont="1" applyFill="1" applyBorder="1" applyAlignment="1" applyProtection="1">
      <alignment vertical="center" shrinkToFit="1"/>
      <protection locked="0"/>
    </xf>
    <xf numFmtId="177" fontId="14" fillId="0" borderId="128" xfId="0" applyNumberFormat="1" applyFont="1" applyFill="1" applyBorder="1" applyAlignment="1" applyProtection="1">
      <alignment vertical="center" shrinkToFit="1"/>
      <protection locked="0"/>
    </xf>
    <xf numFmtId="0" fontId="0" fillId="0" borderId="126" xfId="0" applyFill="1" applyBorder="1" applyAlignment="1" applyProtection="1">
      <alignment vertical="center" shrinkToFit="1"/>
      <protection locked="0"/>
    </xf>
    <xf numFmtId="179" fontId="14" fillId="0" borderId="133" xfId="0" applyNumberFormat="1" applyFont="1" applyFill="1" applyBorder="1" applyAlignment="1" applyProtection="1">
      <alignment horizontal="center" vertical="center" shrinkToFit="1"/>
      <protection locked="0"/>
    </xf>
    <xf numFmtId="179" fontId="14" fillId="0" borderId="132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33" xfId="0" applyFill="1" applyBorder="1" applyAlignment="1" applyProtection="1">
      <alignment vertical="center" shrinkToFit="1"/>
      <protection locked="0"/>
    </xf>
    <xf numFmtId="0" fontId="14" fillId="0" borderId="131" xfId="0" applyFont="1" applyFill="1" applyBorder="1" applyAlignment="1" applyProtection="1">
      <alignment vertical="center" shrinkToFit="1"/>
      <protection locked="0"/>
    </xf>
    <xf numFmtId="0" fontId="14" fillId="0" borderId="134" xfId="0" applyFont="1" applyFill="1" applyBorder="1" applyAlignment="1" applyProtection="1">
      <alignment vertical="center" shrinkToFit="1"/>
      <protection locked="0"/>
    </xf>
    <xf numFmtId="0" fontId="0" fillId="0" borderId="79" xfId="0" applyFont="1" applyFill="1" applyBorder="1" applyAlignment="1" applyProtection="1">
      <alignment vertical="center" shrinkToFit="1"/>
      <protection locked="0"/>
    </xf>
    <xf numFmtId="0" fontId="0" fillId="0" borderId="77" xfId="0" applyFont="1" applyFill="1" applyBorder="1" applyAlignment="1" applyProtection="1">
      <alignment vertical="center" shrinkToFit="1"/>
      <protection locked="0"/>
    </xf>
    <xf numFmtId="0" fontId="0" fillId="0" borderId="129" xfId="0" applyFont="1" applyFill="1" applyBorder="1" applyAlignment="1" applyProtection="1">
      <alignment vertical="center" shrinkToFit="1"/>
      <protection locked="0"/>
    </xf>
    <xf numFmtId="0" fontId="14" fillId="0" borderId="89" xfId="0" applyFont="1" applyFill="1" applyBorder="1" applyAlignment="1" applyProtection="1">
      <alignment vertical="center" shrinkToFit="1"/>
      <protection locked="0"/>
    </xf>
    <xf numFmtId="0" fontId="14" fillId="0" borderId="82" xfId="0" applyFont="1" applyFill="1" applyBorder="1" applyAlignment="1" applyProtection="1">
      <alignment vertical="center" shrinkToFit="1"/>
      <protection locked="0"/>
    </xf>
    <xf numFmtId="0" fontId="14" fillId="0" borderId="90" xfId="0" applyFont="1" applyFill="1" applyBorder="1" applyAlignment="1" applyProtection="1">
      <alignment vertical="center" shrinkToFit="1"/>
      <protection locked="0"/>
    </xf>
    <xf numFmtId="179" fontId="14" fillId="0" borderId="89" xfId="0" applyNumberFormat="1" applyFont="1" applyFill="1" applyBorder="1" applyAlignment="1" applyProtection="1">
      <alignment horizontal="center" vertical="center" shrinkToFit="1"/>
      <protection locked="0"/>
    </xf>
    <xf numFmtId="179" fontId="14" fillId="0" borderId="86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33" xfId="0" applyFont="1" applyFill="1" applyBorder="1" applyAlignment="1" applyProtection="1">
      <alignment vertical="center" shrinkToFit="1"/>
      <protection locked="0"/>
    </xf>
    <xf numFmtId="0" fontId="0" fillId="0" borderId="131" xfId="0" applyFont="1" applyFill="1" applyBorder="1" applyAlignment="1" applyProtection="1">
      <alignment vertical="center" shrinkToFit="1"/>
      <protection locked="0"/>
    </xf>
    <xf numFmtId="0" fontId="0" fillId="0" borderId="134" xfId="0" applyFont="1" applyFill="1" applyBorder="1" applyAlignment="1" applyProtection="1">
      <alignment vertical="center" shrinkToFit="1"/>
      <protection locked="0"/>
    </xf>
    <xf numFmtId="177" fontId="14" fillId="0" borderId="85" xfId="0" applyNumberFormat="1" applyFont="1" applyFill="1" applyBorder="1" applyAlignment="1" applyProtection="1">
      <alignment vertical="center" shrinkToFit="1"/>
      <protection locked="0"/>
    </xf>
    <xf numFmtId="177" fontId="14" fillId="0" borderId="82" xfId="0" applyNumberFormat="1" applyFont="1" applyFill="1" applyBorder="1" applyAlignment="1" applyProtection="1">
      <alignment vertical="center" shrinkToFit="1"/>
      <protection locked="0"/>
    </xf>
    <xf numFmtId="177" fontId="14" fillId="0" borderId="86" xfId="0" applyNumberFormat="1" applyFont="1" applyFill="1" applyBorder="1" applyAlignment="1" applyProtection="1">
      <alignment vertical="center" shrinkToFit="1"/>
      <protection locked="0"/>
    </xf>
    <xf numFmtId="0" fontId="14" fillId="3" borderId="13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horizontal="center" vertical="center"/>
    </xf>
    <xf numFmtId="0" fontId="14" fillId="3" borderId="0" xfId="0" applyFont="1" applyFill="1" applyAlignment="1">
      <alignment vertical="center"/>
    </xf>
    <xf numFmtId="0" fontId="3" fillId="0" borderId="13" xfId="0" applyFont="1" applyFill="1" applyBorder="1" applyAlignment="1" applyProtection="1">
      <alignment vertical="center"/>
      <protection locked="0"/>
    </xf>
    <xf numFmtId="0" fontId="3" fillId="0" borderId="12" xfId="0" applyFont="1" applyFill="1" applyBorder="1" applyAlignment="1" applyProtection="1">
      <alignment vertical="center"/>
      <protection locked="0"/>
    </xf>
    <xf numFmtId="0" fontId="3" fillId="0" borderId="91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92" xfId="0" applyFont="1" applyFill="1" applyBorder="1" applyAlignment="1" applyProtection="1">
      <alignment vertical="center"/>
      <protection locked="0"/>
    </xf>
    <xf numFmtId="0" fontId="3" fillId="0" borderId="10" xfId="0" applyFont="1" applyFill="1" applyBorder="1" applyAlignment="1" applyProtection="1">
      <alignment vertical="center"/>
      <protection locked="0"/>
    </xf>
    <xf numFmtId="0" fontId="3" fillId="0" borderId="23" xfId="0" applyFont="1" applyFill="1" applyBorder="1" applyAlignment="1" applyProtection="1">
      <alignment vertical="center"/>
      <protection locked="0"/>
    </xf>
    <xf numFmtId="0" fontId="3" fillId="0" borderId="74" xfId="0" applyFont="1" applyFill="1" applyBorder="1" applyAlignment="1" applyProtection="1">
      <alignment vertical="center"/>
      <protection locked="0"/>
    </xf>
    <xf numFmtId="0" fontId="0" fillId="0" borderId="89" xfId="0" applyFill="1" applyBorder="1" applyAlignment="1" applyProtection="1">
      <alignment vertical="center" shrinkToFit="1"/>
      <protection locked="0"/>
    </xf>
    <xf numFmtId="0" fontId="0" fillId="0" borderId="98" xfId="0" applyFont="1" applyFill="1" applyBorder="1" applyAlignment="1" applyProtection="1">
      <alignment vertical="center"/>
      <protection locked="0"/>
    </xf>
    <xf numFmtId="0" fontId="14" fillId="0" borderId="0" xfId="0" applyFont="1" applyFill="1" applyBorder="1" applyAlignment="1" applyProtection="1">
      <alignment vertical="center"/>
      <protection locked="0"/>
    </xf>
    <xf numFmtId="0" fontId="14" fillId="0" borderId="15" xfId="0" applyFont="1" applyFill="1" applyBorder="1" applyAlignment="1" applyProtection="1">
      <alignment vertical="center"/>
      <protection locked="0"/>
    </xf>
    <xf numFmtId="0" fontId="14" fillId="0" borderId="30" xfId="0" applyFont="1" applyFill="1" applyBorder="1" applyAlignment="1" applyProtection="1">
      <alignment vertical="center"/>
      <protection locked="0"/>
    </xf>
    <xf numFmtId="0" fontId="14" fillId="0" borderId="31" xfId="0" applyFont="1" applyFill="1" applyBorder="1" applyAlignment="1" applyProtection="1">
      <alignment vertical="center"/>
      <protection locked="0"/>
    </xf>
    <xf numFmtId="0" fontId="14" fillId="0" borderId="36" xfId="0" applyFont="1" applyFill="1" applyBorder="1" applyAlignment="1" applyProtection="1">
      <alignment vertical="center"/>
      <protection locked="0"/>
    </xf>
    <xf numFmtId="0" fontId="14" fillId="0" borderId="73" xfId="0" applyFont="1" applyFill="1" applyBorder="1" applyAlignment="1" applyProtection="1">
      <alignment vertical="center"/>
      <protection locked="0"/>
    </xf>
    <xf numFmtId="0" fontId="14" fillId="3" borderId="75" xfId="0" applyFont="1" applyFill="1" applyBorder="1" applyAlignment="1">
      <alignment horizontal="center" vertical="center"/>
    </xf>
    <xf numFmtId="0" fontId="14" fillId="3" borderId="28" xfId="0" applyFont="1" applyFill="1" applyBorder="1" applyAlignment="1">
      <alignment horizontal="center" vertical="center"/>
    </xf>
    <xf numFmtId="0" fontId="14" fillId="3" borderId="94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94" xfId="0" applyFont="1" applyBorder="1" applyAlignment="1">
      <alignment horizontal="center" vertical="center"/>
    </xf>
    <xf numFmtId="0" fontId="14" fillId="0" borderId="33" xfId="0" applyFont="1" applyFill="1" applyBorder="1" applyAlignment="1" applyProtection="1">
      <alignment horizontal="center" vertical="center" shrinkToFit="1"/>
      <protection locked="0"/>
    </xf>
    <xf numFmtId="0" fontId="14" fillId="0" borderId="34" xfId="0" applyFont="1" applyFill="1" applyBorder="1" applyAlignment="1" applyProtection="1">
      <alignment horizontal="center" vertical="center" shrinkToFit="1"/>
      <protection locked="0"/>
    </xf>
    <xf numFmtId="0" fontId="14" fillId="0" borderId="35" xfId="0" applyFont="1" applyFill="1" applyBorder="1" applyAlignment="1" applyProtection="1">
      <alignment horizontal="center" vertical="center" shrinkToFit="1"/>
      <protection locked="0"/>
    </xf>
    <xf numFmtId="0" fontId="0" fillId="3" borderId="44" xfId="0" applyFill="1" applyBorder="1" applyAlignment="1">
      <alignment horizontal="center" vertical="center"/>
    </xf>
    <xf numFmtId="0" fontId="0" fillId="3" borderId="44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2" borderId="28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3" borderId="6" xfId="0" applyFont="1" applyFill="1" applyBorder="1" applyAlignment="1">
      <alignment vertical="center"/>
    </xf>
    <xf numFmtId="0" fontId="14" fillId="0" borderId="23" xfId="0" applyFont="1" applyFill="1" applyBorder="1" applyAlignment="1" applyProtection="1">
      <alignment horizontal="center" vertical="center"/>
      <protection locked="0"/>
    </xf>
    <xf numFmtId="0" fontId="14" fillId="3" borderId="135" xfId="0" applyFont="1" applyFill="1" applyBorder="1" applyAlignment="1">
      <alignment horizontal="center" vertical="center"/>
    </xf>
    <xf numFmtId="0" fontId="14" fillId="3" borderId="136" xfId="0" applyFont="1" applyFill="1" applyBorder="1" applyAlignment="1">
      <alignment horizontal="center" vertical="center"/>
    </xf>
    <xf numFmtId="0" fontId="14" fillId="3" borderId="137" xfId="0" applyFont="1" applyFill="1" applyBorder="1" applyAlignment="1">
      <alignment horizontal="center" vertical="center"/>
    </xf>
    <xf numFmtId="0" fontId="14" fillId="0" borderId="0" xfId="0" applyFont="1" applyFill="1" applyAlignment="1" applyProtection="1">
      <alignment vertical="center"/>
      <protection locked="0"/>
    </xf>
    <xf numFmtId="0" fontId="14" fillId="3" borderId="0" xfId="0" applyFont="1" applyFill="1" applyAlignment="1" applyProtection="1">
      <alignment vertical="center"/>
    </xf>
    <xf numFmtId="0" fontId="14" fillId="3" borderId="0" xfId="0" applyFont="1" applyFill="1" applyAlignment="1" applyProtection="1">
      <alignment horizontal="right" vertical="center"/>
    </xf>
    <xf numFmtId="0" fontId="15" fillId="3" borderId="102" xfId="0" applyFont="1" applyFill="1" applyBorder="1" applyAlignment="1">
      <alignment horizontal="center" vertical="center" shrinkToFit="1"/>
    </xf>
    <xf numFmtId="0" fontId="15" fillId="0" borderId="102" xfId="0" applyFont="1" applyBorder="1" applyAlignment="1">
      <alignment horizontal="center" vertical="center" shrinkToFit="1"/>
    </xf>
    <xf numFmtId="0" fontId="0" fillId="3" borderId="102" xfId="0" applyFill="1" applyBorder="1" applyAlignment="1">
      <alignment horizontal="center" vertical="center" shrinkToFit="1"/>
    </xf>
    <xf numFmtId="0" fontId="0" fillId="0" borderId="102" xfId="0" applyBorder="1" applyAlignment="1">
      <alignment vertical="center" shrinkToFit="1"/>
    </xf>
    <xf numFmtId="0" fontId="14" fillId="0" borderId="30" xfId="0" applyFont="1" applyFill="1" applyBorder="1" applyAlignment="1" applyProtection="1">
      <alignment horizontal="center" vertical="center" shrinkToFit="1"/>
      <protection locked="0"/>
    </xf>
    <xf numFmtId="0" fontId="14" fillId="0" borderId="31" xfId="0" applyFont="1" applyFill="1" applyBorder="1" applyAlignment="1" applyProtection="1">
      <alignment horizontal="center" vertical="center" shrinkToFit="1"/>
      <protection locked="0"/>
    </xf>
    <xf numFmtId="0" fontId="14" fillId="0" borderId="32" xfId="0" applyFont="1" applyFill="1" applyBorder="1" applyAlignment="1" applyProtection="1">
      <alignment horizontal="center" vertical="center" shrinkToFit="1"/>
      <protection locked="0"/>
    </xf>
    <xf numFmtId="0" fontId="0" fillId="0" borderId="65" xfId="0" applyFill="1" applyBorder="1" applyAlignment="1" applyProtection="1">
      <alignment horizontal="center" vertical="center" shrinkToFit="1"/>
      <protection locked="0"/>
    </xf>
    <xf numFmtId="0" fontId="14" fillId="0" borderId="72" xfId="0" applyFont="1" applyFill="1" applyBorder="1" applyAlignment="1" applyProtection="1">
      <alignment horizontal="center" vertical="center" shrinkToFit="1"/>
      <protection locked="0"/>
    </xf>
    <xf numFmtId="0" fontId="14" fillId="0" borderId="31" xfId="0" applyFont="1" applyBorder="1" applyAlignment="1">
      <alignment horizontal="center" vertical="center"/>
    </xf>
    <xf numFmtId="0" fontId="14" fillId="0" borderId="72" xfId="0" applyFont="1" applyFill="1" applyBorder="1" applyAlignment="1" applyProtection="1">
      <alignment horizontal="center" vertical="center"/>
      <protection locked="0"/>
    </xf>
    <xf numFmtId="178" fontId="14" fillId="0" borderId="4" xfId="0" applyNumberFormat="1" applyFont="1" applyFill="1" applyBorder="1" applyAlignment="1" applyProtection="1">
      <alignment vertical="center"/>
      <protection locked="0"/>
    </xf>
    <xf numFmtId="178" fontId="14" fillId="0" borderId="5" xfId="0" applyNumberFormat="1" applyFont="1" applyFill="1" applyBorder="1" applyAlignment="1" applyProtection="1">
      <alignment vertical="center"/>
      <protection locked="0"/>
    </xf>
    <xf numFmtId="178" fontId="14" fillId="0" borderId="6" xfId="0" applyNumberFormat="1" applyFont="1" applyFill="1" applyBorder="1" applyAlignment="1" applyProtection="1">
      <alignment vertical="center"/>
      <protection locked="0"/>
    </xf>
    <xf numFmtId="0" fontId="0" fillId="0" borderId="13" xfId="0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vertical="center"/>
      <protection locked="0"/>
    </xf>
    <xf numFmtId="0" fontId="14" fillId="0" borderId="5" xfId="0" applyFont="1" applyFill="1" applyBorder="1" applyAlignment="1" applyProtection="1">
      <alignment vertical="center"/>
      <protection locked="0"/>
    </xf>
    <xf numFmtId="0" fontId="14" fillId="3" borderId="101" xfId="0" applyFont="1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center" vertical="center"/>
      <protection locked="0"/>
    </xf>
    <xf numFmtId="0" fontId="14" fillId="0" borderId="6" xfId="0" applyFont="1" applyFill="1" applyBorder="1" applyAlignment="1" applyProtection="1">
      <alignment horizontal="center" vertical="center"/>
      <protection locked="0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14" fillId="0" borderId="5" xfId="0" applyFont="1" applyFill="1" applyBorder="1" applyAlignment="1" applyProtection="1">
      <alignment horizontal="center" vertical="center" shrinkToFit="1"/>
      <protection locked="0"/>
    </xf>
    <xf numFmtId="0" fontId="14" fillId="0" borderId="6" xfId="0" applyFont="1" applyFill="1" applyBorder="1" applyAlignment="1" applyProtection="1">
      <alignment horizontal="center" vertical="center" shrinkToFit="1"/>
      <protection locked="0"/>
    </xf>
    <xf numFmtId="0" fontId="14" fillId="3" borderId="4" xfId="0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23" fillId="0" borderId="23" xfId="0" applyFont="1" applyBorder="1" applyAlignment="1">
      <alignment horizontal="left" vertical="center"/>
    </xf>
    <xf numFmtId="0" fontId="1" fillId="0" borderId="58" xfId="0" applyFont="1" applyFill="1" applyBorder="1" applyAlignment="1" applyProtection="1">
      <alignment horizontal="center" vertical="center" shrinkToFit="1"/>
      <protection locked="0"/>
    </xf>
    <xf numFmtId="0" fontId="1" fillId="0" borderId="22" xfId="0" applyFont="1" applyFill="1" applyBorder="1" applyAlignment="1">
      <alignment horizontal="center" vertical="center" shrinkToFit="1"/>
    </xf>
    <xf numFmtId="0" fontId="15" fillId="0" borderId="117" xfId="0" applyFont="1" applyFill="1" applyBorder="1" applyAlignment="1">
      <alignment horizontal="center" vertical="center" shrinkToFit="1"/>
    </xf>
    <xf numFmtId="0" fontId="15" fillId="0" borderId="58" xfId="0" applyFont="1" applyFill="1" applyBorder="1" applyAlignment="1">
      <alignment horizontal="center" vertical="center" shrinkToFit="1"/>
    </xf>
    <xf numFmtId="0" fontId="18" fillId="0" borderId="151" xfId="0" applyFont="1" applyFill="1" applyBorder="1" applyAlignment="1" applyProtection="1">
      <alignment horizontal="center" vertical="center" shrinkToFit="1"/>
      <protection locked="0"/>
    </xf>
    <xf numFmtId="0" fontId="18" fillId="0" borderId="152" xfId="0" applyFont="1" applyFill="1" applyBorder="1" applyAlignment="1" applyProtection="1">
      <alignment horizontal="center" vertical="center" shrinkToFit="1"/>
      <protection locked="0"/>
    </xf>
    <xf numFmtId="0" fontId="18" fillId="0" borderId="153" xfId="0" applyFont="1" applyFill="1" applyBorder="1" applyAlignment="1" applyProtection="1">
      <alignment horizontal="center" vertical="center" shrinkToFit="1"/>
      <protection locked="0"/>
    </xf>
    <xf numFmtId="0" fontId="18" fillId="0" borderId="154" xfId="0" applyFont="1" applyFill="1" applyBorder="1" applyAlignment="1" applyProtection="1">
      <alignment horizontal="center" vertical="center" shrinkToFit="1"/>
      <protection locked="0"/>
    </xf>
    <xf numFmtId="0" fontId="18" fillId="0" borderId="22" xfId="0" applyFont="1" applyFill="1" applyBorder="1" applyAlignment="1" applyProtection="1">
      <alignment horizontal="center" vertical="center" shrinkToFit="1"/>
      <protection locked="0"/>
    </xf>
    <xf numFmtId="0" fontId="18" fillId="0" borderId="155" xfId="0" applyFont="1" applyFill="1" applyBorder="1" applyAlignment="1" applyProtection="1">
      <alignment horizontal="center" vertical="center" shrinkToFit="1"/>
      <protection locked="0"/>
    </xf>
    <xf numFmtId="0" fontId="18" fillId="0" borderId="156" xfId="0" applyFont="1" applyFill="1" applyBorder="1" applyAlignment="1" applyProtection="1">
      <alignment horizontal="center" vertical="center" shrinkToFit="1"/>
      <protection locked="0"/>
    </xf>
    <xf numFmtId="0" fontId="18" fillId="0" borderId="157" xfId="0" applyFont="1" applyFill="1" applyBorder="1" applyAlignment="1" applyProtection="1">
      <alignment horizontal="center" vertical="center" shrinkToFit="1"/>
      <protection locked="0"/>
    </xf>
    <xf numFmtId="0" fontId="18" fillId="0" borderId="158" xfId="0" applyFont="1" applyFill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4" fillId="3" borderId="15" xfId="0" applyFont="1" applyFill="1" applyBorder="1" applyAlignment="1">
      <alignment horizontal="center" vertical="center"/>
    </xf>
    <xf numFmtId="0" fontId="0" fillId="3" borderId="115" xfId="0" applyFill="1" applyBorder="1" applyAlignment="1">
      <alignment horizontal="center" vertical="center"/>
    </xf>
    <xf numFmtId="0" fontId="0" fillId="0" borderId="99" xfId="0" applyBorder="1" applyAlignment="1">
      <alignment vertical="center"/>
    </xf>
    <xf numFmtId="0" fontId="0" fillId="0" borderId="99" xfId="0" applyFill="1" applyBorder="1" applyAlignment="1">
      <alignment horizontal="center" vertical="center"/>
    </xf>
    <xf numFmtId="0" fontId="0" fillId="0" borderId="99" xfId="0" applyFill="1" applyBorder="1" applyAlignment="1" applyProtection="1">
      <alignment horizontal="center" vertical="center" shrinkToFit="1"/>
      <protection locked="0"/>
    </xf>
    <xf numFmtId="0" fontId="14" fillId="0" borderId="99" xfId="0" applyFont="1" applyFill="1" applyBorder="1" applyAlignment="1" applyProtection="1">
      <alignment horizontal="center" vertical="center" shrinkToFit="1"/>
      <protection locked="0"/>
    </xf>
    <xf numFmtId="0" fontId="20" fillId="0" borderId="99" xfId="0" applyFont="1" applyFill="1" applyBorder="1" applyAlignment="1">
      <alignment horizontal="center" vertical="center"/>
    </xf>
    <xf numFmtId="0" fontId="21" fillId="0" borderId="99" xfId="0" applyFont="1" applyFill="1" applyBorder="1" applyAlignment="1">
      <alignment horizontal="center" vertical="center"/>
    </xf>
    <xf numFmtId="0" fontId="0" fillId="0" borderId="99" xfId="0" applyBorder="1">
      <alignment vertical="center"/>
    </xf>
    <xf numFmtId="0" fontId="14" fillId="0" borderId="100" xfId="0" applyFont="1" applyFill="1" applyBorder="1" applyAlignment="1" applyProtection="1">
      <alignment horizontal="center" vertical="center" shrinkToFit="1"/>
      <protection locked="0"/>
    </xf>
    <xf numFmtId="0" fontId="0" fillId="0" borderId="10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08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09" xfId="0" applyFill="1" applyBorder="1" applyAlignment="1" applyProtection="1">
      <alignment vertical="center"/>
      <protection locked="0"/>
    </xf>
    <xf numFmtId="0" fontId="14" fillId="0" borderId="109" xfId="0" applyFont="1" applyFill="1" applyBorder="1" applyAlignment="1" applyProtection="1">
      <alignment vertical="center"/>
      <protection locked="0"/>
    </xf>
    <xf numFmtId="0" fontId="14" fillId="0" borderId="113" xfId="0" applyFont="1" applyFill="1" applyBorder="1" applyAlignment="1" applyProtection="1">
      <alignment vertical="center"/>
      <protection locked="0"/>
    </xf>
    <xf numFmtId="0" fontId="14" fillId="0" borderId="114" xfId="0" applyFont="1" applyFill="1" applyBorder="1" applyAlignment="1" applyProtection="1">
      <alignment vertical="center"/>
      <protection locked="0"/>
    </xf>
    <xf numFmtId="0" fontId="14" fillId="0" borderId="110" xfId="0" applyFont="1" applyFill="1" applyBorder="1" applyAlignment="1" applyProtection="1">
      <alignment vertical="center"/>
      <protection locked="0"/>
    </xf>
    <xf numFmtId="0" fontId="14" fillId="0" borderId="111" xfId="0" applyFont="1" applyFill="1" applyBorder="1" applyAlignment="1" applyProtection="1">
      <alignment vertical="center"/>
      <protection locked="0"/>
    </xf>
    <xf numFmtId="0" fontId="0" fillId="3" borderId="61" xfId="0" applyFill="1" applyBorder="1" applyAlignment="1">
      <alignment horizontal="center" vertical="center"/>
    </xf>
    <xf numFmtId="0" fontId="0" fillId="3" borderId="61" xfId="0" applyFont="1" applyFill="1" applyBorder="1" applyAlignment="1">
      <alignment horizontal="center" vertical="center"/>
    </xf>
    <xf numFmtId="0" fontId="0" fillId="0" borderId="61" xfId="0" applyBorder="1" applyAlignment="1">
      <alignment vertical="center"/>
    </xf>
    <xf numFmtId="0" fontId="14" fillId="0" borderId="4" xfId="0" applyFon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horizontal="center" vertical="center"/>
    </xf>
    <xf numFmtId="180" fontId="14" fillId="0" borderId="4" xfId="0" applyNumberFormat="1" applyFont="1" applyFill="1" applyBorder="1" applyAlignment="1" applyProtection="1">
      <alignment horizontal="center" vertical="center"/>
      <protection locked="0"/>
    </xf>
    <xf numFmtId="180" fontId="14" fillId="0" borderId="5" xfId="0" applyNumberFormat="1" applyFont="1" applyFill="1" applyBorder="1" applyAlignment="1" applyProtection="1">
      <alignment horizontal="center" vertical="center"/>
      <protection locked="0"/>
    </xf>
    <xf numFmtId="180" fontId="14" fillId="0" borderId="6" xfId="0" applyNumberFormat="1" applyFont="1" applyFill="1" applyBorder="1" applyAlignment="1" applyProtection="1">
      <alignment horizontal="center" vertical="center"/>
      <protection locked="0"/>
    </xf>
    <xf numFmtId="0" fontId="4" fillId="0" borderId="58" xfId="0" applyFont="1" applyFill="1" applyBorder="1" applyAlignment="1" applyProtection="1">
      <alignment horizontal="center" vertical="center"/>
      <protection locked="0"/>
    </xf>
    <xf numFmtId="0" fontId="4" fillId="0" borderId="31" xfId="0" applyFont="1" applyFill="1" applyBorder="1" applyAlignment="1" applyProtection="1">
      <alignment horizontal="center" vertical="center"/>
      <protection locked="0"/>
    </xf>
    <xf numFmtId="0" fontId="4" fillId="0" borderId="59" xfId="0" applyFont="1" applyFill="1" applyBorder="1" applyAlignment="1" applyProtection="1">
      <alignment horizontal="center" vertical="center"/>
      <protection locked="0"/>
    </xf>
    <xf numFmtId="0" fontId="4" fillId="0" borderId="22" xfId="0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 vertical="center"/>
      <protection locked="0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4" fillId="3" borderId="7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74" xfId="0" applyFont="1" applyFill="1" applyBorder="1" applyAlignment="1">
      <alignment horizontal="center" vertical="center"/>
    </xf>
    <xf numFmtId="0" fontId="4" fillId="0" borderId="30" xfId="0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 applyProtection="1">
      <alignment horizontal="center" vertical="center"/>
      <protection locked="0"/>
    </xf>
    <xf numFmtId="0" fontId="4" fillId="3" borderId="44" xfId="0" applyFont="1" applyFill="1" applyBorder="1" applyAlignment="1">
      <alignment horizontal="center" vertical="center"/>
    </xf>
    <xf numFmtId="176" fontId="4" fillId="0" borderId="33" xfId="0" applyNumberFormat="1" applyFont="1" applyFill="1" applyBorder="1" applyAlignment="1" applyProtection="1">
      <alignment vertical="center"/>
      <protection locked="0"/>
    </xf>
    <xf numFmtId="176" fontId="4" fillId="0" borderId="34" xfId="0" applyNumberFormat="1" applyFont="1" applyFill="1" applyBorder="1" applyAlignment="1" applyProtection="1">
      <alignment vertical="center"/>
      <protection locked="0"/>
    </xf>
    <xf numFmtId="176" fontId="4" fillId="0" borderId="35" xfId="0" applyNumberFormat="1" applyFont="1" applyFill="1" applyBorder="1" applyAlignment="1" applyProtection="1">
      <alignment vertical="center"/>
      <protection locked="0"/>
    </xf>
    <xf numFmtId="0" fontId="4" fillId="3" borderId="48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4" fillId="3" borderId="94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4" fillId="0" borderId="93" xfId="0" applyFont="1" applyFill="1" applyBorder="1" applyAlignment="1" applyProtection="1">
      <alignment vertical="center"/>
      <protection locked="0"/>
    </xf>
    <xf numFmtId="0" fontId="0" fillId="0" borderId="12" xfId="0" applyFill="1" applyBorder="1" applyAlignment="1" applyProtection="1">
      <alignment vertical="center"/>
      <protection locked="0"/>
    </xf>
    <xf numFmtId="0" fontId="0" fillId="0" borderId="14" xfId="0" applyFill="1" applyBorder="1" applyAlignment="1" applyProtection="1">
      <alignment vertical="center"/>
      <protection locked="0"/>
    </xf>
    <xf numFmtId="0" fontId="4" fillId="0" borderId="30" xfId="0" applyFont="1" applyFill="1" applyBorder="1" applyAlignment="1" applyProtection="1">
      <alignment vertical="center"/>
      <protection locked="0"/>
    </xf>
    <xf numFmtId="0" fontId="0" fillId="0" borderId="31" xfId="0" applyFill="1" applyBorder="1" applyAlignment="1" applyProtection="1">
      <alignment vertical="center"/>
      <protection locked="0"/>
    </xf>
    <xf numFmtId="0" fontId="0" fillId="0" borderId="36" xfId="0" applyFill="1" applyBorder="1" applyAlignment="1" applyProtection="1">
      <alignment vertical="center"/>
      <protection locked="0"/>
    </xf>
    <xf numFmtId="0" fontId="4" fillId="0" borderId="73" xfId="0" applyFont="1" applyFill="1" applyBorder="1" applyAlignment="1" applyProtection="1">
      <alignment vertical="center"/>
      <protection locked="0"/>
    </xf>
    <xf numFmtId="0" fontId="0" fillId="0" borderId="23" xfId="0" applyFill="1" applyBorder="1" applyAlignment="1" applyProtection="1">
      <alignment vertical="center"/>
      <protection locked="0"/>
    </xf>
    <xf numFmtId="0" fontId="0" fillId="0" borderId="11" xfId="0" applyFill="1" applyBorder="1" applyAlignment="1" applyProtection="1">
      <alignment vertical="center"/>
      <protection locked="0"/>
    </xf>
    <xf numFmtId="0" fontId="4" fillId="0" borderId="89" xfId="0" applyFont="1" applyFill="1" applyBorder="1" applyAlignment="1" applyProtection="1">
      <alignment vertical="center"/>
      <protection locked="0"/>
    </xf>
    <xf numFmtId="0" fontId="4" fillId="0" borderId="82" xfId="0" applyFont="1" applyFill="1" applyBorder="1" applyAlignment="1" applyProtection="1">
      <alignment vertical="center"/>
      <protection locked="0"/>
    </xf>
    <xf numFmtId="0" fontId="4" fillId="0" borderId="90" xfId="0" applyFont="1" applyFill="1" applyBorder="1" applyAlignment="1" applyProtection="1">
      <alignment vertical="center"/>
      <protection locked="0"/>
    </xf>
    <xf numFmtId="0" fontId="4" fillId="3" borderId="29" xfId="0" applyFont="1" applyFill="1" applyBorder="1" applyAlignment="1">
      <alignment horizontal="center" vertical="center"/>
    </xf>
    <xf numFmtId="0" fontId="4" fillId="3" borderId="61" xfId="0" applyFont="1" applyFill="1" applyBorder="1" applyAlignment="1">
      <alignment horizontal="center" vertical="center"/>
    </xf>
    <xf numFmtId="0" fontId="4" fillId="3" borderId="62" xfId="0" applyFont="1" applyFill="1" applyBorder="1" applyAlignment="1">
      <alignment horizontal="center" vertical="center"/>
    </xf>
    <xf numFmtId="0" fontId="4" fillId="0" borderId="57" xfId="0" applyFont="1" applyFill="1" applyBorder="1" applyAlignment="1" applyProtection="1">
      <alignment horizontal="center" vertical="center"/>
      <protection locked="0"/>
    </xf>
    <xf numFmtId="176" fontId="4" fillId="0" borderId="54" xfId="0" applyNumberFormat="1" applyFont="1" applyFill="1" applyBorder="1" applyAlignment="1" applyProtection="1">
      <alignment vertical="center"/>
      <protection locked="0"/>
    </xf>
    <xf numFmtId="176" fontId="4" fillId="0" borderId="22" xfId="0" applyNumberFormat="1" applyFont="1" applyFill="1" applyBorder="1" applyAlignment="1" applyProtection="1">
      <alignment vertical="center"/>
      <protection locked="0"/>
    </xf>
    <xf numFmtId="0" fontId="4" fillId="3" borderId="38" xfId="0" applyFont="1" applyFill="1" applyBorder="1" applyAlignment="1">
      <alignment horizontal="center" vertical="center"/>
    </xf>
    <xf numFmtId="0" fontId="4" fillId="0" borderId="79" xfId="0" applyFont="1" applyFill="1" applyBorder="1" applyAlignment="1" applyProtection="1">
      <alignment vertical="center"/>
      <protection locked="0"/>
    </xf>
    <xf numFmtId="0" fontId="4" fillId="0" borderId="77" xfId="0" applyFont="1" applyFill="1" applyBorder="1" applyAlignment="1" applyProtection="1">
      <alignment vertical="center"/>
      <protection locked="0"/>
    </xf>
    <xf numFmtId="0" fontId="4" fillId="0" borderId="84" xfId="0" applyFont="1" applyFill="1" applyBorder="1" applyAlignment="1" applyProtection="1">
      <alignment vertical="center"/>
      <protection locked="0"/>
    </xf>
    <xf numFmtId="0" fontId="4" fillId="3" borderId="63" xfId="0" applyFont="1" applyFill="1" applyBorder="1" applyAlignment="1">
      <alignment horizontal="center" vertical="center"/>
    </xf>
    <xf numFmtId="177" fontId="4" fillId="0" borderId="85" xfId="0" applyNumberFormat="1" applyFont="1" applyFill="1" applyBorder="1" applyAlignment="1" applyProtection="1">
      <alignment vertical="center"/>
      <protection locked="0"/>
    </xf>
    <xf numFmtId="177" fontId="4" fillId="0" borderId="82" xfId="0" applyNumberFormat="1" applyFont="1" applyFill="1" applyBorder="1" applyAlignment="1" applyProtection="1">
      <alignment vertical="center"/>
      <protection locked="0"/>
    </xf>
    <xf numFmtId="177" fontId="4" fillId="0" borderId="86" xfId="0" applyNumberFormat="1" applyFont="1" applyFill="1" applyBorder="1" applyAlignment="1" applyProtection="1">
      <alignment vertical="center"/>
      <protection locked="0"/>
    </xf>
    <xf numFmtId="179" fontId="4" fillId="0" borderId="89" xfId="0" applyNumberFormat="1" applyFont="1" applyFill="1" applyBorder="1" applyAlignment="1" applyProtection="1">
      <alignment horizontal="center" vertical="center"/>
      <protection locked="0"/>
    </xf>
    <xf numFmtId="179" fontId="4" fillId="0" borderId="86" xfId="0" applyNumberFormat="1" applyFont="1" applyFill="1" applyBorder="1" applyAlignment="1" applyProtection="1">
      <alignment horizontal="center" vertical="center"/>
      <protection locked="0"/>
    </xf>
    <xf numFmtId="177" fontId="4" fillId="0" borderId="76" xfId="0" applyNumberFormat="1" applyFont="1" applyFill="1" applyBorder="1" applyAlignment="1" applyProtection="1">
      <alignment vertical="center"/>
      <protection locked="0"/>
    </xf>
    <xf numFmtId="177" fontId="4" fillId="0" borderId="77" xfId="0" applyNumberFormat="1" applyFont="1" applyFill="1" applyBorder="1" applyAlignment="1" applyProtection="1">
      <alignment vertical="center"/>
      <protection locked="0"/>
    </xf>
    <xf numFmtId="177" fontId="4" fillId="0" borderId="78" xfId="0" applyNumberFormat="1" applyFont="1" applyFill="1" applyBorder="1" applyAlignment="1" applyProtection="1">
      <alignment vertical="center"/>
      <protection locked="0"/>
    </xf>
    <xf numFmtId="179" fontId="4" fillId="0" borderId="79" xfId="0" applyNumberFormat="1" applyFont="1" applyFill="1" applyBorder="1" applyAlignment="1" applyProtection="1">
      <alignment horizontal="center" vertical="center"/>
      <protection locked="0"/>
    </xf>
    <xf numFmtId="179" fontId="4" fillId="0" borderId="78" xfId="0" applyNumberFormat="1" applyFont="1" applyFill="1" applyBorder="1" applyAlignment="1" applyProtection="1">
      <alignment horizontal="center" vertical="center"/>
      <protection locked="0"/>
    </xf>
    <xf numFmtId="179" fontId="4" fillId="0" borderId="87" xfId="0" applyNumberFormat="1" applyFont="1" applyFill="1" applyBorder="1" applyAlignment="1" applyProtection="1">
      <alignment horizontal="center" vertical="center"/>
      <protection locked="0"/>
    </xf>
    <xf numFmtId="179" fontId="4" fillId="0" borderId="88" xfId="0" applyNumberFormat="1" applyFont="1" applyFill="1" applyBorder="1" applyAlignment="1" applyProtection="1">
      <alignment horizontal="center" vertical="center"/>
      <protection locked="0"/>
    </xf>
    <xf numFmtId="0" fontId="4" fillId="0" borderId="24" xfId="0" applyFont="1" applyFill="1" applyBorder="1" applyAlignment="1" applyProtection="1">
      <alignment vertical="center"/>
      <protection locked="0"/>
    </xf>
    <xf numFmtId="0" fontId="0" fillId="0" borderId="25" xfId="0" applyFill="1" applyBorder="1" applyAlignment="1" applyProtection="1">
      <alignment vertical="center"/>
      <protection locked="0"/>
    </xf>
    <xf numFmtId="0" fontId="0" fillId="0" borderId="26" xfId="0" applyFill="1" applyBorder="1" applyAlignment="1" applyProtection="1">
      <alignment vertical="center"/>
      <protection locked="0"/>
    </xf>
    <xf numFmtId="0" fontId="4" fillId="0" borderId="33" xfId="0" applyFont="1" applyFill="1" applyBorder="1" applyAlignment="1" applyProtection="1">
      <alignment horizontal="center" vertical="center"/>
      <protection locked="0"/>
    </xf>
    <xf numFmtId="0" fontId="4" fillId="0" borderId="34" xfId="0" applyFont="1" applyFill="1" applyBorder="1" applyAlignment="1" applyProtection="1">
      <alignment horizontal="center" vertical="center"/>
      <protection locked="0"/>
    </xf>
    <xf numFmtId="0" fontId="4" fillId="0" borderId="35" xfId="0" applyFont="1" applyFill="1" applyBorder="1" applyAlignment="1" applyProtection="1">
      <alignment horizontal="center" vertical="center"/>
      <protection locked="0"/>
    </xf>
    <xf numFmtId="0" fontId="0" fillId="0" borderId="28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3" xfId="0" applyFont="1" applyFill="1" applyBorder="1" applyAlignment="1" applyProtection="1">
      <alignment vertical="center"/>
      <protection locked="0"/>
    </xf>
    <xf numFmtId="0" fontId="6" fillId="0" borderId="12" xfId="0" applyFont="1" applyFill="1" applyBorder="1" applyAlignment="1" applyProtection="1">
      <alignment vertical="center"/>
      <protection locked="0"/>
    </xf>
    <xf numFmtId="0" fontId="6" fillId="0" borderId="80" xfId="0" applyFont="1" applyFill="1" applyBorder="1" applyAlignment="1" applyProtection="1">
      <alignment vertical="center"/>
      <protection locked="0"/>
    </xf>
    <xf numFmtId="0" fontId="6" fillId="0" borderId="10" xfId="0" applyFont="1" applyFill="1" applyBorder="1" applyAlignment="1" applyProtection="1">
      <alignment vertical="center"/>
      <protection locked="0"/>
    </xf>
    <xf numFmtId="0" fontId="6" fillId="0" borderId="23" xfId="0" applyFont="1" applyFill="1" applyBorder="1" applyAlignment="1" applyProtection="1">
      <alignment vertical="center"/>
      <protection locked="0"/>
    </xf>
    <xf numFmtId="0" fontId="6" fillId="0" borderId="81" xfId="0" applyFont="1" applyFill="1" applyBorder="1" applyAlignment="1" applyProtection="1">
      <alignment vertical="center"/>
      <protection locked="0"/>
    </xf>
    <xf numFmtId="0" fontId="4" fillId="0" borderId="12" xfId="0" applyFont="1" applyFill="1" applyBorder="1" applyAlignment="1" applyProtection="1">
      <alignment vertical="center"/>
      <protection locked="0"/>
    </xf>
    <xf numFmtId="0" fontId="4" fillId="0" borderId="83" xfId="0" applyFont="1" applyFill="1" applyBorder="1" applyAlignment="1" applyProtection="1">
      <alignment vertical="center"/>
      <protection locked="0"/>
    </xf>
    <xf numFmtId="0" fontId="4" fillId="3" borderId="13" xfId="0" applyFont="1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4" fillId="0" borderId="41" xfId="0" applyFont="1" applyFill="1" applyBorder="1" applyAlignment="1" applyProtection="1">
      <alignment horizontal="center" vertical="center"/>
      <protection locked="0"/>
    </xf>
    <xf numFmtId="0" fontId="4" fillId="0" borderId="42" xfId="0" applyFont="1" applyFill="1" applyBorder="1" applyAlignment="1" applyProtection="1">
      <alignment horizontal="center" vertical="center"/>
      <protection locked="0"/>
    </xf>
    <xf numFmtId="0" fontId="4" fillId="3" borderId="13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23" xfId="0" applyFill="1" applyBorder="1" applyAlignment="1">
      <alignment vertical="center"/>
    </xf>
    <xf numFmtId="0" fontId="6" fillId="0" borderId="91" xfId="0" applyFont="1" applyFill="1" applyBorder="1" applyAlignment="1" applyProtection="1">
      <alignment vertical="center"/>
      <protection locked="0"/>
    </xf>
    <xf numFmtId="0" fontId="6" fillId="0" borderId="7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6" fillId="0" borderId="92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4" fillId="3" borderId="14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4" fillId="3" borderId="15" xfId="0" applyFont="1" applyFill="1" applyBorder="1" applyAlignment="1">
      <alignment vertical="center"/>
    </xf>
    <xf numFmtId="0" fontId="4" fillId="3" borderId="10" xfId="0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3" borderId="64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vertical="center"/>
    </xf>
    <xf numFmtId="0" fontId="4" fillId="0" borderId="2" xfId="0" applyFont="1" applyFill="1" applyBorder="1" applyAlignment="1" applyProtection="1">
      <alignment horizontal="center" vertical="center"/>
      <protection locked="0"/>
    </xf>
    <xf numFmtId="176" fontId="4" fillId="0" borderId="42" xfId="0" applyNumberFormat="1" applyFont="1" applyFill="1" applyBorder="1" applyAlignment="1" applyProtection="1">
      <alignment vertical="center"/>
      <protection locked="0"/>
    </xf>
    <xf numFmtId="176" fontId="4" fillId="0" borderId="55" xfId="0" applyNumberFormat="1" applyFont="1" applyFill="1" applyBorder="1" applyAlignment="1" applyProtection="1">
      <alignment vertical="center"/>
      <protection locked="0"/>
    </xf>
    <xf numFmtId="176" fontId="4" fillId="0" borderId="53" xfId="0" applyNumberFormat="1" applyFont="1" applyFill="1" applyBorder="1" applyAlignment="1" applyProtection="1">
      <alignment vertical="center"/>
      <protection locked="0"/>
    </xf>
    <xf numFmtId="176" fontId="4" fillId="0" borderId="56" xfId="0" applyNumberFormat="1" applyFont="1" applyFill="1" applyBorder="1" applyAlignment="1" applyProtection="1">
      <alignment vertical="center"/>
      <protection locked="0"/>
    </xf>
    <xf numFmtId="176" fontId="4" fillId="0" borderId="46" xfId="0" applyNumberFormat="1" applyFont="1" applyFill="1" applyBorder="1" applyAlignment="1" applyProtection="1">
      <alignment vertical="center"/>
      <protection locked="0"/>
    </xf>
    <xf numFmtId="0" fontId="4" fillId="0" borderId="50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vertical="center"/>
      <protection locked="0"/>
    </xf>
    <xf numFmtId="0" fontId="4" fillId="0" borderId="39" xfId="0" applyFont="1" applyFill="1" applyBorder="1" applyAlignment="1" applyProtection="1">
      <alignment vertical="center"/>
      <protection locked="0"/>
    </xf>
    <xf numFmtId="0" fontId="4" fillId="3" borderId="38" xfId="0" applyFont="1" applyFill="1" applyBorder="1" applyAlignment="1">
      <alignment vertical="center"/>
    </xf>
    <xf numFmtId="0" fontId="4" fillId="0" borderId="5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7" xfId="0" applyFont="1" applyFill="1" applyBorder="1" applyAlignment="1">
      <alignment horizontal="center" vertical="center"/>
    </xf>
    <xf numFmtId="0" fontId="4" fillId="3" borderId="4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 applyProtection="1">
      <alignment horizontal="right" vertical="center"/>
      <protection locked="0"/>
    </xf>
    <xf numFmtId="0" fontId="4" fillId="0" borderId="31" xfId="0" applyFont="1" applyFill="1" applyBorder="1" applyAlignment="1" applyProtection="1">
      <alignment vertical="center"/>
      <protection locked="0"/>
    </xf>
    <xf numFmtId="0" fontId="4" fillId="0" borderId="36" xfId="0" applyFont="1" applyFill="1" applyBorder="1" applyAlignment="1" applyProtection="1">
      <alignment vertical="center"/>
      <protection locked="0"/>
    </xf>
    <xf numFmtId="176" fontId="4" fillId="0" borderId="3" xfId="0" applyNumberFormat="1" applyFont="1" applyFill="1" applyBorder="1" applyAlignment="1" applyProtection="1">
      <alignment horizontal="right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vertical="center"/>
      <protection locked="0"/>
    </xf>
    <xf numFmtId="0" fontId="4" fillId="0" borderId="6" xfId="0" applyFont="1" applyFill="1" applyBorder="1" applyAlignment="1" applyProtection="1">
      <alignment vertical="center"/>
      <protection locked="0"/>
    </xf>
    <xf numFmtId="0" fontId="5" fillId="0" borderId="31" xfId="0" applyFont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0" borderId="72" xfId="0" applyFont="1" applyFill="1" applyBorder="1" applyAlignment="1" applyProtection="1">
      <alignment horizontal="center" vertical="center"/>
      <protection locked="0"/>
    </xf>
    <xf numFmtId="0" fontId="4" fillId="0" borderId="49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>
      <alignment vertical="center"/>
    </xf>
    <xf numFmtId="0" fontId="4" fillId="3" borderId="66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3" borderId="67" xfId="0" applyFont="1" applyFill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4" fillId="3" borderId="71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0" borderId="65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>
      <alignment vertical="center"/>
    </xf>
    <xf numFmtId="0" fontId="4" fillId="3" borderId="68" xfId="0" applyFont="1" applyFill="1" applyBorder="1" applyAlignment="1">
      <alignment vertical="center"/>
    </xf>
    <xf numFmtId="0" fontId="4" fillId="3" borderId="69" xfId="0" applyFont="1" applyFill="1" applyBorder="1" applyAlignment="1">
      <alignment vertical="center"/>
    </xf>
    <xf numFmtId="0" fontId="4" fillId="3" borderId="70" xfId="0" applyFont="1" applyFill="1" applyBorder="1" applyAlignment="1">
      <alignment vertical="center"/>
    </xf>
    <xf numFmtId="0" fontId="4" fillId="0" borderId="68" xfId="0" applyFont="1" applyFill="1" applyBorder="1" applyAlignment="1" applyProtection="1">
      <alignment horizontal="center" vertical="center"/>
      <protection locked="0"/>
    </xf>
    <xf numFmtId="0" fontId="4" fillId="0" borderId="69" xfId="0" applyFont="1" applyFill="1" applyBorder="1" applyAlignment="1" applyProtection="1">
      <alignment horizontal="center" vertical="center"/>
      <protection locked="0"/>
    </xf>
    <xf numFmtId="0" fontId="4" fillId="0" borderId="70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 applyAlignment="1">
      <alignment horizontal="center" vertical="center"/>
    </xf>
    <xf numFmtId="0" fontId="4" fillId="2" borderId="75" xfId="0" applyFont="1" applyFill="1" applyBorder="1" applyAlignment="1">
      <alignment horizontal="center" vertical="center"/>
    </xf>
    <xf numFmtId="0" fontId="4" fillId="3" borderId="43" xfId="0" applyFont="1" applyFill="1" applyBorder="1" applyAlignment="1">
      <alignment horizontal="center" vertical="center"/>
    </xf>
    <xf numFmtId="0" fontId="4" fillId="0" borderId="10" xfId="0" applyFont="1" applyFill="1" applyBorder="1" applyAlignment="1" applyProtection="1">
      <alignment vertical="center"/>
      <protection locked="0"/>
    </xf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28" xfId="0" applyFont="1" applyFill="1" applyBorder="1" applyAlignment="1" applyProtection="1">
      <alignment horizontal="center" vertical="center"/>
      <protection locked="0"/>
    </xf>
    <xf numFmtId="0" fontId="4" fillId="0" borderId="29" xfId="0" applyFont="1" applyFill="1" applyBorder="1" applyAlignment="1" applyProtection="1">
      <alignment horizontal="center" vertical="center"/>
      <protection locked="0"/>
    </xf>
    <xf numFmtId="0" fontId="4" fillId="0" borderId="23" xfId="0" applyFont="1" applyFill="1" applyBorder="1" applyAlignment="1" applyProtection="1">
      <alignment vertical="center"/>
      <protection locked="0"/>
    </xf>
    <xf numFmtId="0" fontId="4" fillId="0" borderId="11" xfId="0" applyFont="1" applyFill="1" applyBorder="1" applyAlignment="1" applyProtection="1">
      <alignment vertical="center"/>
      <protection locked="0"/>
    </xf>
    <xf numFmtId="0" fontId="4" fillId="3" borderId="0" xfId="0" applyFont="1" applyFill="1" applyAlignment="1" applyProtection="1">
      <alignment horizontal="right"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3" borderId="0" xfId="0" applyFont="1" applyFill="1" applyAlignment="1" applyProtection="1">
      <alignment vertical="center"/>
      <protection locked="0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176" fontId="4" fillId="0" borderId="30" xfId="0" applyNumberFormat="1" applyFont="1" applyFill="1" applyBorder="1" applyAlignment="1" applyProtection="1">
      <alignment vertical="center"/>
      <protection locked="0"/>
    </xf>
    <xf numFmtId="176" fontId="4" fillId="0" borderId="31" xfId="0" applyNumberFormat="1" applyFont="1" applyFill="1" applyBorder="1" applyAlignment="1" applyProtection="1">
      <alignment vertical="center"/>
      <protection locked="0"/>
    </xf>
    <xf numFmtId="176" fontId="4" fillId="0" borderId="32" xfId="0" applyNumberFormat="1" applyFont="1" applyFill="1" applyBorder="1" applyAlignment="1" applyProtection="1">
      <alignment vertical="center"/>
      <protection locked="0"/>
    </xf>
    <xf numFmtId="0" fontId="4" fillId="0" borderId="46" xfId="0" applyFont="1" applyFill="1" applyBorder="1" applyAlignment="1" applyProtection="1">
      <alignment vertical="center"/>
      <protection locked="0"/>
    </xf>
    <xf numFmtId="0" fontId="4" fillId="0" borderId="95" xfId="0" applyFont="1" applyFill="1" applyBorder="1" applyAlignment="1" applyProtection="1">
      <alignment vertical="center"/>
      <protection locked="0"/>
    </xf>
    <xf numFmtId="0" fontId="12" fillId="0" borderId="23" xfId="0" applyFont="1" applyBorder="1" applyAlignment="1">
      <alignment horizontal="center" vertical="center"/>
    </xf>
    <xf numFmtId="176" fontId="4" fillId="0" borderId="27" xfId="0" applyNumberFormat="1" applyFont="1" applyFill="1" applyBorder="1" applyAlignment="1" applyProtection="1">
      <alignment vertical="center"/>
      <protection locked="0"/>
    </xf>
    <xf numFmtId="176" fontId="4" fillId="0" borderId="28" xfId="0" applyNumberFormat="1" applyFont="1" applyFill="1" applyBorder="1" applyAlignment="1" applyProtection="1">
      <alignment vertical="center"/>
      <protection locked="0"/>
    </xf>
    <xf numFmtId="176" fontId="4" fillId="0" borderId="29" xfId="0" applyNumberFormat="1" applyFont="1" applyFill="1" applyBorder="1" applyAlignment="1" applyProtection="1">
      <alignment vertical="center"/>
      <protection locked="0"/>
    </xf>
    <xf numFmtId="178" fontId="4" fillId="0" borderId="4" xfId="0" applyNumberFormat="1" applyFont="1" applyFill="1" applyBorder="1" applyAlignment="1" applyProtection="1">
      <alignment vertical="center"/>
      <protection locked="0"/>
    </xf>
    <xf numFmtId="178" fontId="4" fillId="0" borderId="5" xfId="0" applyNumberFormat="1" applyFont="1" applyFill="1" applyBorder="1" applyAlignment="1" applyProtection="1">
      <alignment vertical="center"/>
      <protection locked="0"/>
    </xf>
    <xf numFmtId="178" fontId="4" fillId="0" borderId="6" xfId="0" applyNumberFormat="1" applyFont="1" applyFill="1" applyBorder="1" applyAlignment="1" applyProtection="1">
      <alignment vertical="center"/>
      <protection locked="0"/>
    </xf>
    <xf numFmtId="177" fontId="4" fillId="0" borderId="4" xfId="0" applyNumberFormat="1" applyFont="1" applyFill="1" applyBorder="1" applyAlignment="1" applyProtection="1">
      <alignment vertical="center"/>
      <protection locked="0"/>
    </xf>
    <xf numFmtId="177" fontId="4" fillId="0" borderId="5" xfId="0" applyNumberFormat="1" applyFont="1" applyFill="1" applyBorder="1" applyAlignment="1" applyProtection="1">
      <alignment vertical="center"/>
      <protection locked="0"/>
    </xf>
    <xf numFmtId="177" fontId="4" fillId="0" borderId="6" xfId="0" applyNumberFormat="1" applyFont="1" applyFill="1" applyBorder="1" applyAlignment="1" applyProtection="1">
      <alignment vertical="center"/>
      <protection locked="0"/>
    </xf>
    <xf numFmtId="0" fontId="4" fillId="3" borderId="51" xfId="0" applyFont="1" applyFill="1" applyBorder="1" applyAlignment="1">
      <alignment horizontal="center" vertical="center"/>
    </xf>
    <xf numFmtId="176" fontId="10" fillId="0" borderId="42" xfId="0" applyNumberFormat="1" applyFont="1" applyBorder="1" applyAlignment="1">
      <alignment vertical="center"/>
    </xf>
    <xf numFmtId="176" fontId="10" fillId="0" borderId="55" xfId="0" applyNumberFormat="1" applyFont="1" applyBorder="1" applyAlignment="1">
      <alignment vertical="center"/>
    </xf>
    <xf numFmtId="0" fontId="10" fillId="0" borderId="41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176" fontId="10" fillId="0" borderId="22" xfId="0" applyNumberFormat="1" applyFont="1" applyBorder="1" applyAlignment="1">
      <alignment vertical="center"/>
    </xf>
    <xf numFmtId="176" fontId="10" fillId="0" borderId="54" xfId="0" applyNumberFormat="1" applyFont="1" applyBorder="1" applyAlignment="1">
      <alignment vertical="center"/>
    </xf>
    <xf numFmtId="0" fontId="10" fillId="0" borderId="57" xfId="0" applyFont="1" applyBorder="1" applyAlignment="1">
      <alignment horizontal="center" vertical="center"/>
    </xf>
    <xf numFmtId="0" fontId="4" fillId="0" borderId="30" xfId="0" applyFont="1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6" xfId="0" applyBorder="1" applyAlignment="1">
      <alignment vertical="center"/>
    </xf>
    <xf numFmtId="0" fontId="4" fillId="0" borderId="73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10" fillId="0" borderId="30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4" fillId="3" borderId="60" xfId="0" applyFont="1" applyFill="1" applyBorder="1" applyAlignment="1">
      <alignment horizontal="center" vertical="center"/>
    </xf>
    <xf numFmtId="0" fontId="10" fillId="0" borderId="23" xfId="0" applyFont="1" applyBorder="1" applyAlignment="1">
      <alignment vertical="center"/>
    </xf>
    <xf numFmtId="0" fontId="10" fillId="0" borderId="77" xfId="0" applyFont="1" applyBorder="1" applyAlignment="1">
      <alignment vertical="center"/>
    </xf>
    <xf numFmtId="0" fontId="4" fillId="0" borderId="79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10" fillId="0" borderId="12" xfId="0" applyFont="1" applyBorder="1" applyAlignment="1">
      <alignment vertical="center"/>
    </xf>
    <xf numFmtId="0" fontId="10" fillId="0" borderId="76" xfId="0" applyNumberFormat="1" applyFont="1" applyBorder="1" applyAlignment="1">
      <alignment vertical="center"/>
    </xf>
    <xf numFmtId="0" fontId="10" fillId="0" borderId="77" xfId="0" applyNumberFormat="1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6" fillId="0" borderId="91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92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92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74" xfId="0" applyFont="1" applyBorder="1" applyAlignment="1">
      <alignment vertical="center"/>
    </xf>
    <xf numFmtId="0" fontId="4" fillId="0" borderId="96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10" fillId="0" borderId="73" xfId="0" applyNumberFormat="1" applyFont="1" applyBorder="1" applyAlignment="1">
      <alignment vertical="center"/>
    </xf>
    <xf numFmtId="0" fontId="10" fillId="0" borderId="23" xfId="0" applyNumberFormat="1" applyFont="1" applyBorder="1" applyAlignment="1">
      <alignment vertical="center"/>
    </xf>
    <xf numFmtId="177" fontId="10" fillId="0" borderId="12" xfId="0" applyNumberFormat="1" applyFont="1" applyBorder="1" applyAlignment="1">
      <alignment vertical="center"/>
    </xf>
    <xf numFmtId="0" fontId="4" fillId="0" borderId="97" xfId="0" applyFont="1" applyBorder="1" applyAlignment="1">
      <alignment horizontal="center" vertical="center"/>
    </xf>
    <xf numFmtId="0" fontId="4" fillId="0" borderId="80" xfId="0" applyFont="1" applyBorder="1" applyAlignment="1">
      <alignment horizontal="center" vertical="center"/>
    </xf>
    <xf numFmtId="0" fontId="10" fillId="0" borderId="93" xfId="0" applyNumberFormat="1" applyFont="1" applyBorder="1" applyAlignment="1">
      <alignment vertical="center"/>
    </xf>
    <xf numFmtId="0" fontId="10" fillId="0" borderId="12" xfId="0" applyNumberFormat="1" applyFont="1" applyBorder="1" applyAlignment="1">
      <alignment vertical="center"/>
    </xf>
    <xf numFmtId="177" fontId="10" fillId="0" borderId="76" xfId="0" applyNumberFormat="1" applyFont="1" applyBorder="1" applyAlignment="1">
      <alignment vertical="center"/>
    </xf>
    <xf numFmtId="177" fontId="10" fillId="0" borderId="77" xfId="0" applyNumberFormat="1" applyFont="1" applyBorder="1" applyAlignment="1">
      <alignment vertical="center"/>
    </xf>
    <xf numFmtId="177" fontId="10" fillId="0" borderId="78" xfId="0" applyNumberFormat="1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1" fillId="0" borderId="80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1" fillId="0" borderId="81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4" xfId="0" applyBorder="1" applyAlignment="1">
      <alignment vertical="center"/>
    </xf>
    <xf numFmtId="0" fontId="4" fillId="0" borderId="82" xfId="0" applyFont="1" applyBorder="1" applyAlignment="1">
      <alignment vertical="center"/>
    </xf>
    <xf numFmtId="0" fontId="4" fillId="0" borderId="83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10" fillId="0" borderId="46" xfId="0" applyFont="1" applyBorder="1" applyAlignment="1">
      <alignment horizontal="center" vertical="center"/>
    </xf>
    <xf numFmtId="0" fontId="10" fillId="0" borderId="68" xfId="0" applyFont="1" applyBorder="1" applyAlignment="1">
      <alignment horizontal="center" vertical="center"/>
    </xf>
    <xf numFmtId="0" fontId="10" fillId="0" borderId="69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10" fillId="0" borderId="65" xfId="0" applyFont="1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176" fontId="10" fillId="0" borderId="46" xfId="0" applyNumberFormat="1" applyFont="1" applyBorder="1" applyAlignment="1">
      <alignment vertical="center"/>
    </xf>
    <xf numFmtId="176" fontId="10" fillId="0" borderId="34" xfId="0" applyNumberFormat="1" applyFont="1" applyBorder="1" applyAlignment="1">
      <alignment vertical="center"/>
    </xf>
    <xf numFmtId="176" fontId="10" fillId="0" borderId="53" xfId="0" applyNumberFormat="1" applyFont="1" applyBorder="1" applyAlignment="1">
      <alignment vertical="center"/>
    </xf>
    <xf numFmtId="176" fontId="10" fillId="0" borderId="56" xfId="0" applyNumberFormat="1" applyFont="1" applyBorder="1" applyAlignment="1">
      <alignment vertical="center"/>
    </xf>
    <xf numFmtId="0" fontId="10" fillId="0" borderId="50" xfId="0" applyFont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10" fillId="0" borderId="31" xfId="0" applyFont="1" applyBorder="1" applyAlignment="1">
      <alignment vertical="center"/>
    </xf>
    <xf numFmtId="0" fontId="10" fillId="0" borderId="36" xfId="0" applyFont="1" applyBorder="1" applyAlignment="1">
      <alignment vertical="center"/>
    </xf>
    <xf numFmtId="0" fontId="10" fillId="0" borderId="49" xfId="0" applyFont="1" applyBorder="1" applyAlignment="1">
      <alignment horizontal="center" vertical="center"/>
    </xf>
    <xf numFmtId="0" fontId="10" fillId="0" borderId="46" xfId="0" applyFont="1" applyBorder="1" applyAlignment="1">
      <alignment vertical="center"/>
    </xf>
    <xf numFmtId="0" fontId="10" fillId="0" borderId="95" xfId="0" applyFont="1" applyBorder="1" applyAlignment="1">
      <alignment vertical="center"/>
    </xf>
    <xf numFmtId="176" fontId="10" fillId="0" borderId="2" xfId="0" applyNumberFormat="1" applyFont="1" applyBorder="1" applyAlignment="1">
      <alignment horizontal="right" vertical="center"/>
    </xf>
    <xf numFmtId="176" fontId="10" fillId="0" borderId="3" xfId="0" applyNumberFormat="1" applyFont="1" applyBorder="1" applyAlignment="1">
      <alignment horizontal="right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178" fontId="10" fillId="0" borderId="4" xfId="0" applyNumberFormat="1" applyFont="1" applyBorder="1" applyAlignment="1">
      <alignment vertical="center"/>
    </xf>
    <xf numFmtId="178" fontId="10" fillId="0" borderId="5" xfId="0" applyNumberFormat="1" applyFont="1" applyBorder="1" applyAlignment="1">
      <alignment vertical="center"/>
    </xf>
    <xf numFmtId="178" fontId="10" fillId="0" borderId="6" xfId="0" applyNumberFormat="1" applyFont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177" fontId="10" fillId="0" borderId="5" xfId="0" applyNumberFormat="1" applyFont="1" applyBorder="1" applyAlignment="1">
      <alignment vertical="center"/>
    </xf>
    <xf numFmtId="177" fontId="10" fillId="0" borderId="6" xfId="0" applyNumberFormat="1" applyFont="1" applyBorder="1" applyAlignment="1">
      <alignment vertical="center"/>
    </xf>
    <xf numFmtId="0" fontId="4" fillId="0" borderId="93" xfId="0" applyFont="1" applyBorder="1" applyAlignment="1">
      <alignment vertical="center"/>
    </xf>
    <xf numFmtId="176" fontId="10" fillId="0" borderId="27" xfId="0" applyNumberFormat="1" applyFont="1" applyBorder="1" applyAlignment="1">
      <alignment vertical="center"/>
    </xf>
    <xf numFmtId="176" fontId="10" fillId="0" borderId="28" xfId="0" applyNumberFormat="1" applyFont="1" applyBorder="1" applyAlignment="1">
      <alignment vertical="center"/>
    </xf>
    <xf numFmtId="176" fontId="10" fillId="0" borderId="29" xfId="0" applyNumberFormat="1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10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11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10" fillId="0" borderId="30" xfId="0" applyNumberFormat="1" applyFont="1" applyBorder="1" applyAlignment="1">
      <alignment vertical="center"/>
    </xf>
    <xf numFmtId="176" fontId="10" fillId="0" borderId="31" xfId="0" applyNumberFormat="1" applyFont="1" applyBorder="1" applyAlignment="1">
      <alignment vertical="center"/>
    </xf>
    <xf numFmtId="176" fontId="10" fillId="0" borderId="32" xfId="0" applyNumberFormat="1" applyFont="1" applyBorder="1" applyAlignment="1">
      <alignment vertical="center"/>
    </xf>
    <xf numFmtId="176" fontId="10" fillId="0" borderId="33" xfId="0" applyNumberFormat="1" applyFont="1" applyBorder="1" applyAlignment="1">
      <alignment vertical="center"/>
    </xf>
    <xf numFmtId="176" fontId="10" fillId="0" borderId="35" xfId="0" applyNumberFormat="1" applyFont="1" applyBorder="1" applyAlignment="1">
      <alignment vertical="center"/>
    </xf>
  </cellXfs>
  <cellStyles count="1">
    <cellStyle name="標準" xfId="0" builtinId="0"/>
  </cellStyles>
  <dxfs count="72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 patternType="solid">
          <bgColor indexed="22"/>
        </patternFill>
      </fill>
    </dxf>
    <dxf>
      <fill>
        <patternFill patternType="gray0625">
          <bgColor indexed="6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 patternType="solid">
          <bgColor indexed="22"/>
        </patternFill>
      </fill>
    </dxf>
    <dxf>
      <fill>
        <patternFill patternType="gray0625">
          <bgColor indexed="6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76200</xdr:rowOff>
    </xdr:from>
    <xdr:to>
      <xdr:col>0</xdr:col>
      <xdr:colOff>0</xdr:colOff>
      <xdr:row>15</xdr:row>
      <xdr:rowOff>266700</xdr:rowOff>
    </xdr:to>
    <xdr:sp macro="" textlink="">
      <xdr:nvSpPr>
        <xdr:cNvPr id="7334" name="Oval 1"/>
        <xdr:cNvSpPr>
          <a:spLocks noChangeArrowheads="1"/>
        </xdr:cNvSpPr>
      </xdr:nvSpPr>
      <xdr:spPr bwMode="auto">
        <a:xfrm>
          <a:off x="0" y="40481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57150</xdr:rowOff>
    </xdr:from>
    <xdr:to>
      <xdr:col>0</xdr:col>
      <xdr:colOff>0</xdr:colOff>
      <xdr:row>16</xdr:row>
      <xdr:rowOff>266700</xdr:rowOff>
    </xdr:to>
    <xdr:sp macro="" textlink="">
      <xdr:nvSpPr>
        <xdr:cNvPr id="7335" name="Oval 2"/>
        <xdr:cNvSpPr>
          <a:spLocks noChangeArrowheads="1"/>
        </xdr:cNvSpPr>
      </xdr:nvSpPr>
      <xdr:spPr bwMode="auto">
        <a:xfrm>
          <a:off x="0" y="4276725"/>
          <a:ext cx="0" cy="1905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0</xdr:colOff>
      <xdr:row>20</xdr:row>
      <xdr:rowOff>266700</xdr:rowOff>
    </xdr:to>
    <xdr:sp macro="" textlink="">
      <xdr:nvSpPr>
        <xdr:cNvPr id="7336" name="Oval 3"/>
        <xdr:cNvSpPr>
          <a:spLocks noChangeArrowheads="1"/>
        </xdr:cNvSpPr>
      </xdr:nvSpPr>
      <xdr:spPr bwMode="auto">
        <a:xfrm>
          <a:off x="0" y="5305425"/>
          <a:ext cx="0" cy="1524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20</xdr:row>
      <xdr:rowOff>57150</xdr:rowOff>
    </xdr:from>
    <xdr:to>
      <xdr:col>0</xdr:col>
      <xdr:colOff>0</xdr:colOff>
      <xdr:row>20</xdr:row>
      <xdr:rowOff>238125</xdr:rowOff>
    </xdr:to>
    <xdr:sp macro="" textlink="">
      <xdr:nvSpPr>
        <xdr:cNvPr id="7337" name="Oval 4"/>
        <xdr:cNvSpPr>
          <a:spLocks noChangeArrowheads="1"/>
        </xdr:cNvSpPr>
      </xdr:nvSpPr>
      <xdr:spPr bwMode="auto">
        <a:xfrm>
          <a:off x="0" y="5267325"/>
          <a:ext cx="0" cy="18097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76200</xdr:rowOff>
    </xdr:from>
    <xdr:to>
      <xdr:col>0</xdr:col>
      <xdr:colOff>0</xdr:colOff>
      <xdr:row>23</xdr:row>
      <xdr:rowOff>285750</xdr:rowOff>
    </xdr:to>
    <xdr:sp macro="" textlink="">
      <xdr:nvSpPr>
        <xdr:cNvPr id="7338" name="Oval 5"/>
        <xdr:cNvSpPr>
          <a:spLocks noChangeArrowheads="1"/>
        </xdr:cNvSpPr>
      </xdr:nvSpPr>
      <xdr:spPr bwMode="auto">
        <a:xfrm>
          <a:off x="0" y="60293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17</xdr:row>
      <xdr:rowOff>85725</xdr:rowOff>
    </xdr:from>
    <xdr:to>
      <xdr:col>0</xdr:col>
      <xdr:colOff>0</xdr:colOff>
      <xdr:row>17</xdr:row>
      <xdr:rowOff>266700</xdr:rowOff>
    </xdr:to>
    <xdr:sp macro="" textlink="">
      <xdr:nvSpPr>
        <xdr:cNvPr id="7339" name="Oval 6"/>
        <xdr:cNvSpPr>
          <a:spLocks noChangeArrowheads="1"/>
        </xdr:cNvSpPr>
      </xdr:nvSpPr>
      <xdr:spPr bwMode="auto">
        <a:xfrm>
          <a:off x="0" y="4552950"/>
          <a:ext cx="0" cy="16192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17</xdr:row>
      <xdr:rowOff>57150</xdr:rowOff>
    </xdr:from>
    <xdr:to>
      <xdr:col>0</xdr:col>
      <xdr:colOff>0</xdr:colOff>
      <xdr:row>17</xdr:row>
      <xdr:rowOff>266700</xdr:rowOff>
    </xdr:to>
    <xdr:sp macro="" textlink="">
      <xdr:nvSpPr>
        <xdr:cNvPr id="7340" name="Oval 7"/>
        <xdr:cNvSpPr>
          <a:spLocks noChangeArrowheads="1"/>
        </xdr:cNvSpPr>
      </xdr:nvSpPr>
      <xdr:spPr bwMode="auto">
        <a:xfrm>
          <a:off x="0" y="4524375"/>
          <a:ext cx="0" cy="1905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76200</xdr:rowOff>
    </xdr:from>
    <xdr:to>
      <xdr:col>0</xdr:col>
      <xdr:colOff>0</xdr:colOff>
      <xdr:row>18</xdr:row>
      <xdr:rowOff>257175</xdr:rowOff>
    </xdr:to>
    <xdr:sp macro="" textlink="">
      <xdr:nvSpPr>
        <xdr:cNvPr id="7341" name="Oval 8"/>
        <xdr:cNvSpPr>
          <a:spLocks noChangeArrowheads="1"/>
        </xdr:cNvSpPr>
      </xdr:nvSpPr>
      <xdr:spPr bwMode="auto">
        <a:xfrm>
          <a:off x="0" y="479107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66675</xdr:rowOff>
    </xdr:from>
    <xdr:to>
      <xdr:col>0</xdr:col>
      <xdr:colOff>0</xdr:colOff>
      <xdr:row>18</xdr:row>
      <xdr:rowOff>247650</xdr:rowOff>
    </xdr:to>
    <xdr:sp macro="" textlink="">
      <xdr:nvSpPr>
        <xdr:cNvPr id="7342" name="Oval 9"/>
        <xdr:cNvSpPr>
          <a:spLocks noChangeArrowheads="1"/>
        </xdr:cNvSpPr>
      </xdr:nvSpPr>
      <xdr:spPr bwMode="auto">
        <a:xfrm>
          <a:off x="0" y="4781550"/>
          <a:ext cx="0" cy="18097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47625</xdr:rowOff>
    </xdr:from>
    <xdr:to>
      <xdr:col>0</xdr:col>
      <xdr:colOff>0</xdr:colOff>
      <xdr:row>23</xdr:row>
      <xdr:rowOff>257175</xdr:rowOff>
    </xdr:to>
    <xdr:sp macro="" textlink="">
      <xdr:nvSpPr>
        <xdr:cNvPr id="7343" name="Oval 10"/>
        <xdr:cNvSpPr>
          <a:spLocks noChangeArrowheads="1"/>
        </xdr:cNvSpPr>
      </xdr:nvSpPr>
      <xdr:spPr bwMode="auto">
        <a:xfrm>
          <a:off x="0" y="6000750"/>
          <a:ext cx="0" cy="20002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95250</xdr:rowOff>
    </xdr:from>
    <xdr:to>
      <xdr:col>0</xdr:col>
      <xdr:colOff>0</xdr:colOff>
      <xdr:row>21</xdr:row>
      <xdr:rowOff>266700</xdr:rowOff>
    </xdr:to>
    <xdr:sp macro="" textlink="">
      <xdr:nvSpPr>
        <xdr:cNvPr id="7344" name="Oval 11"/>
        <xdr:cNvSpPr>
          <a:spLocks noChangeArrowheads="1"/>
        </xdr:cNvSpPr>
      </xdr:nvSpPr>
      <xdr:spPr bwMode="auto">
        <a:xfrm>
          <a:off x="0" y="5553075"/>
          <a:ext cx="0" cy="1524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76200</xdr:rowOff>
    </xdr:from>
    <xdr:to>
      <xdr:col>0</xdr:col>
      <xdr:colOff>0</xdr:colOff>
      <xdr:row>21</xdr:row>
      <xdr:rowOff>257175</xdr:rowOff>
    </xdr:to>
    <xdr:sp macro="" textlink="">
      <xdr:nvSpPr>
        <xdr:cNvPr id="7345" name="Oval 12"/>
        <xdr:cNvSpPr>
          <a:spLocks noChangeArrowheads="1"/>
        </xdr:cNvSpPr>
      </xdr:nvSpPr>
      <xdr:spPr bwMode="auto">
        <a:xfrm>
          <a:off x="0" y="55340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91</xdr:col>
      <xdr:colOff>57150</xdr:colOff>
      <xdr:row>5</xdr:row>
      <xdr:rowOff>66675</xdr:rowOff>
    </xdr:from>
    <xdr:to>
      <xdr:col>109</xdr:col>
      <xdr:colOff>95250</xdr:colOff>
      <xdr:row>6</xdr:row>
      <xdr:rowOff>171450</xdr:rowOff>
    </xdr:to>
    <xdr:sp macro="" textlink="">
      <xdr:nvSpPr>
        <xdr:cNvPr id="3" name="四角形吹き出し 2"/>
        <xdr:cNvSpPr/>
      </xdr:nvSpPr>
      <xdr:spPr bwMode="auto">
        <a:xfrm>
          <a:off x="11325225" y="1562100"/>
          <a:ext cx="2266950" cy="352425"/>
        </a:xfrm>
        <a:prstGeom prst="wedgeRectCallout">
          <a:avLst>
            <a:gd name="adj1" fmla="val -54867"/>
            <a:gd name="adj2" fmla="val -172635"/>
          </a:avLst>
        </a:prstGeom>
        <a:solidFill>
          <a:srgbClr val="FFFFFF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部決しました。部数増減無し。</a:t>
          </a:r>
        </a:p>
      </xdr:txBody>
    </xdr:sp>
    <xdr:clientData/>
  </xdr:twoCellAnchor>
  <xdr:twoCellAnchor>
    <xdr:from>
      <xdr:col>81</xdr:col>
      <xdr:colOff>114300</xdr:colOff>
      <xdr:row>14</xdr:row>
      <xdr:rowOff>85725</xdr:rowOff>
    </xdr:from>
    <xdr:to>
      <xdr:col>89</xdr:col>
      <xdr:colOff>57150</xdr:colOff>
      <xdr:row>15</xdr:row>
      <xdr:rowOff>190500</xdr:rowOff>
    </xdr:to>
    <xdr:sp macro="" textlink="">
      <xdr:nvSpPr>
        <xdr:cNvPr id="17" name="四角形吹き出し 16"/>
        <xdr:cNvSpPr/>
      </xdr:nvSpPr>
      <xdr:spPr bwMode="auto">
        <a:xfrm>
          <a:off x="10144125" y="3810000"/>
          <a:ext cx="933450" cy="352425"/>
        </a:xfrm>
        <a:prstGeom prst="wedgeRectCallout">
          <a:avLst>
            <a:gd name="adj1" fmla="val -52826"/>
            <a:gd name="adj2" fmla="val -167229"/>
          </a:avLst>
        </a:prstGeom>
        <a:solidFill>
          <a:srgbClr val="FFFFFF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本数修正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76200</xdr:rowOff>
    </xdr:from>
    <xdr:to>
      <xdr:col>0</xdr:col>
      <xdr:colOff>0</xdr:colOff>
      <xdr:row>15</xdr:row>
      <xdr:rowOff>266700</xdr:rowOff>
    </xdr:to>
    <xdr:sp macro="" textlink="">
      <xdr:nvSpPr>
        <xdr:cNvPr id="8423" name="Oval 1"/>
        <xdr:cNvSpPr>
          <a:spLocks noChangeArrowheads="1"/>
        </xdr:cNvSpPr>
      </xdr:nvSpPr>
      <xdr:spPr bwMode="auto">
        <a:xfrm>
          <a:off x="0" y="40481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57150</xdr:rowOff>
    </xdr:from>
    <xdr:to>
      <xdr:col>0</xdr:col>
      <xdr:colOff>0</xdr:colOff>
      <xdr:row>16</xdr:row>
      <xdr:rowOff>266700</xdr:rowOff>
    </xdr:to>
    <xdr:sp macro="" textlink="">
      <xdr:nvSpPr>
        <xdr:cNvPr id="8424" name="Oval 2"/>
        <xdr:cNvSpPr>
          <a:spLocks noChangeArrowheads="1"/>
        </xdr:cNvSpPr>
      </xdr:nvSpPr>
      <xdr:spPr bwMode="auto">
        <a:xfrm>
          <a:off x="0" y="4276725"/>
          <a:ext cx="0" cy="1905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0</xdr:colOff>
      <xdr:row>20</xdr:row>
      <xdr:rowOff>266700</xdr:rowOff>
    </xdr:to>
    <xdr:sp macro="" textlink="">
      <xdr:nvSpPr>
        <xdr:cNvPr id="8425" name="Oval 3"/>
        <xdr:cNvSpPr>
          <a:spLocks noChangeArrowheads="1"/>
        </xdr:cNvSpPr>
      </xdr:nvSpPr>
      <xdr:spPr bwMode="auto">
        <a:xfrm>
          <a:off x="0" y="5305425"/>
          <a:ext cx="0" cy="1524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20</xdr:row>
      <xdr:rowOff>57150</xdr:rowOff>
    </xdr:from>
    <xdr:to>
      <xdr:col>0</xdr:col>
      <xdr:colOff>0</xdr:colOff>
      <xdr:row>20</xdr:row>
      <xdr:rowOff>238125</xdr:rowOff>
    </xdr:to>
    <xdr:sp macro="" textlink="">
      <xdr:nvSpPr>
        <xdr:cNvPr id="8426" name="Oval 4"/>
        <xdr:cNvSpPr>
          <a:spLocks noChangeArrowheads="1"/>
        </xdr:cNvSpPr>
      </xdr:nvSpPr>
      <xdr:spPr bwMode="auto">
        <a:xfrm>
          <a:off x="0" y="5267325"/>
          <a:ext cx="0" cy="18097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76200</xdr:rowOff>
    </xdr:from>
    <xdr:to>
      <xdr:col>0</xdr:col>
      <xdr:colOff>0</xdr:colOff>
      <xdr:row>23</xdr:row>
      <xdr:rowOff>285750</xdr:rowOff>
    </xdr:to>
    <xdr:sp macro="" textlink="">
      <xdr:nvSpPr>
        <xdr:cNvPr id="8427" name="Oval 5"/>
        <xdr:cNvSpPr>
          <a:spLocks noChangeArrowheads="1"/>
        </xdr:cNvSpPr>
      </xdr:nvSpPr>
      <xdr:spPr bwMode="auto">
        <a:xfrm>
          <a:off x="0" y="60293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17</xdr:row>
      <xdr:rowOff>85725</xdr:rowOff>
    </xdr:from>
    <xdr:to>
      <xdr:col>0</xdr:col>
      <xdr:colOff>0</xdr:colOff>
      <xdr:row>17</xdr:row>
      <xdr:rowOff>266700</xdr:rowOff>
    </xdr:to>
    <xdr:sp macro="" textlink="">
      <xdr:nvSpPr>
        <xdr:cNvPr id="8428" name="Oval 6"/>
        <xdr:cNvSpPr>
          <a:spLocks noChangeArrowheads="1"/>
        </xdr:cNvSpPr>
      </xdr:nvSpPr>
      <xdr:spPr bwMode="auto">
        <a:xfrm>
          <a:off x="0" y="4552950"/>
          <a:ext cx="0" cy="16192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17</xdr:row>
      <xdr:rowOff>57150</xdr:rowOff>
    </xdr:from>
    <xdr:to>
      <xdr:col>0</xdr:col>
      <xdr:colOff>0</xdr:colOff>
      <xdr:row>17</xdr:row>
      <xdr:rowOff>266700</xdr:rowOff>
    </xdr:to>
    <xdr:sp macro="" textlink="">
      <xdr:nvSpPr>
        <xdr:cNvPr id="8429" name="Oval 7"/>
        <xdr:cNvSpPr>
          <a:spLocks noChangeArrowheads="1"/>
        </xdr:cNvSpPr>
      </xdr:nvSpPr>
      <xdr:spPr bwMode="auto">
        <a:xfrm>
          <a:off x="0" y="4524375"/>
          <a:ext cx="0" cy="1905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76200</xdr:rowOff>
    </xdr:from>
    <xdr:to>
      <xdr:col>0</xdr:col>
      <xdr:colOff>0</xdr:colOff>
      <xdr:row>18</xdr:row>
      <xdr:rowOff>257175</xdr:rowOff>
    </xdr:to>
    <xdr:sp macro="" textlink="">
      <xdr:nvSpPr>
        <xdr:cNvPr id="8430" name="Oval 8"/>
        <xdr:cNvSpPr>
          <a:spLocks noChangeArrowheads="1"/>
        </xdr:cNvSpPr>
      </xdr:nvSpPr>
      <xdr:spPr bwMode="auto">
        <a:xfrm>
          <a:off x="0" y="479107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66675</xdr:rowOff>
    </xdr:from>
    <xdr:to>
      <xdr:col>0</xdr:col>
      <xdr:colOff>0</xdr:colOff>
      <xdr:row>18</xdr:row>
      <xdr:rowOff>247650</xdr:rowOff>
    </xdr:to>
    <xdr:sp macro="" textlink="">
      <xdr:nvSpPr>
        <xdr:cNvPr id="8431" name="Oval 9"/>
        <xdr:cNvSpPr>
          <a:spLocks noChangeArrowheads="1"/>
        </xdr:cNvSpPr>
      </xdr:nvSpPr>
      <xdr:spPr bwMode="auto">
        <a:xfrm>
          <a:off x="0" y="4781550"/>
          <a:ext cx="0" cy="18097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47625</xdr:rowOff>
    </xdr:from>
    <xdr:to>
      <xdr:col>0</xdr:col>
      <xdr:colOff>0</xdr:colOff>
      <xdr:row>23</xdr:row>
      <xdr:rowOff>257175</xdr:rowOff>
    </xdr:to>
    <xdr:sp macro="" textlink="">
      <xdr:nvSpPr>
        <xdr:cNvPr id="8432" name="Oval 10"/>
        <xdr:cNvSpPr>
          <a:spLocks noChangeArrowheads="1"/>
        </xdr:cNvSpPr>
      </xdr:nvSpPr>
      <xdr:spPr bwMode="auto">
        <a:xfrm>
          <a:off x="0" y="6000750"/>
          <a:ext cx="0" cy="20002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95250</xdr:rowOff>
    </xdr:from>
    <xdr:to>
      <xdr:col>0</xdr:col>
      <xdr:colOff>0</xdr:colOff>
      <xdr:row>21</xdr:row>
      <xdr:rowOff>266700</xdr:rowOff>
    </xdr:to>
    <xdr:sp macro="" textlink="">
      <xdr:nvSpPr>
        <xdr:cNvPr id="8433" name="Oval 11"/>
        <xdr:cNvSpPr>
          <a:spLocks noChangeArrowheads="1"/>
        </xdr:cNvSpPr>
      </xdr:nvSpPr>
      <xdr:spPr bwMode="auto">
        <a:xfrm>
          <a:off x="0" y="5553075"/>
          <a:ext cx="0" cy="1524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76200</xdr:rowOff>
    </xdr:from>
    <xdr:to>
      <xdr:col>0</xdr:col>
      <xdr:colOff>0</xdr:colOff>
      <xdr:row>21</xdr:row>
      <xdr:rowOff>257175</xdr:rowOff>
    </xdr:to>
    <xdr:sp macro="" textlink="">
      <xdr:nvSpPr>
        <xdr:cNvPr id="8434" name="Oval 12"/>
        <xdr:cNvSpPr>
          <a:spLocks noChangeArrowheads="1"/>
        </xdr:cNvSpPr>
      </xdr:nvSpPr>
      <xdr:spPr bwMode="auto">
        <a:xfrm>
          <a:off x="0" y="55340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9</xdr:col>
      <xdr:colOff>38100</xdr:colOff>
      <xdr:row>1</xdr:row>
      <xdr:rowOff>409575</xdr:rowOff>
    </xdr:from>
    <xdr:to>
      <xdr:col>130</xdr:col>
      <xdr:colOff>95250</xdr:colOff>
      <xdr:row>7</xdr:row>
      <xdr:rowOff>38100</xdr:rowOff>
    </xdr:to>
    <xdr:sp macro="" textlink="">
      <xdr:nvSpPr>
        <xdr:cNvPr id="8435" name="Rectangle 13"/>
        <xdr:cNvSpPr>
          <a:spLocks noChangeArrowheads="1"/>
        </xdr:cNvSpPr>
      </xdr:nvSpPr>
      <xdr:spPr bwMode="auto">
        <a:xfrm>
          <a:off x="1152525" y="657225"/>
          <a:ext cx="15039975" cy="1371600"/>
        </a:xfrm>
        <a:prstGeom prst="rect">
          <a:avLst/>
        </a:prstGeom>
        <a:noFill/>
        <a:ln w="38100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33</xdr:row>
      <xdr:rowOff>152400</xdr:rowOff>
    </xdr:from>
    <xdr:to>
      <xdr:col>18</xdr:col>
      <xdr:colOff>66675</xdr:colOff>
      <xdr:row>35</xdr:row>
      <xdr:rowOff>95250</xdr:rowOff>
    </xdr:to>
    <xdr:sp macro="" textlink="">
      <xdr:nvSpPr>
        <xdr:cNvPr id="8436" name="Rectangle 14"/>
        <xdr:cNvSpPr>
          <a:spLocks noChangeArrowheads="1"/>
        </xdr:cNvSpPr>
      </xdr:nvSpPr>
      <xdr:spPr bwMode="auto">
        <a:xfrm>
          <a:off x="1400175" y="8582025"/>
          <a:ext cx="895350" cy="438150"/>
        </a:xfrm>
        <a:prstGeom prst="rect">
          <a:avLst/>
        </a:prstGeom>
        <a:noFill/>
        <a:ln w="38100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23</xdr:row>
      <xdr:rowOff>104775</xdr:rowOff>
    </xdr:from>
    <xdr:to>
      <xdr:col>85</xdr:col>
      <xdr:colOff>38100</xdr:colOff>
      <xdr:row>31</xdr:row>
      <xdr:rowOff>28575</xdr:rowOff>
    </xdr:to>
    <xdr:sp macro="" textlink="">
      <xdr:nvSpPr>
        <xdr:cNvPr id="8209" name="AutoShape 17"/>
        <xdr:cNvSpPr>
          <a:spLocks noChangeArrowheads="1"/>
        </xdr:cNvSpPr>
      </xdr:nvSpPr>
      <xdr:spPr bwMode="auto">
        <a:xfrm>
          <a:off x="1400175" y="6057900"/>
          <a:ext cx="9163050" cy="1905000"/>
        </a:xfrm>
        <a:prstGeom prst="wedgeRectCallout">
          <a:avLst>
            <a:gd name="adj1" fmla="val -45194"/>
            <a:gd name="adj2" fmla="val 77537"/>
          </a:avLst>
        </a:prstGeom>
        <a:solidFill>
          <a:srgbClr val="FFFFFF"/>
        </a:solidFill>
        <a:ln w="38100" algn="ctr">
          <a:solidFill>
            <a:srgbClr val="FF0000"/>
          </a:solidFill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800" b="0" i="0" u="none" strike="noStrike" baseline="0">
            <a:solidFill>
              <a:srgbClr val="000000"/>
            </a:solidFill>
            <a:latin typeface="HGｺﾞｼｯｸE"/>
            <a:ea typeface="HGｺﾞｼｯｸE"/>
          </a:endParaRP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先頭セルに日付を入力すると、曜日とそれ以降のセルが自動入力されます。</a:t>
          </a: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</a:t>
          </a:r>
          <a:r>
            <a:rPr lang="en-US" altLang="ja-JP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※ </a:t>
          </a: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長期休暇を省く場合は、対象セルから打ち直してください。</a:t>
          </a:r>
        </a:p>
        <a:p>
          <a:pPr algn="l" rtl="0">
            <a:defRPr sz="1000"/>
          </a:pPr>
          <a:endParaRPr lang="ja-JP" altLang="en-US" sz="1800" b="0" i="0" u="none" strike="noStrike" baseline="0">
            <a:solidFill>
              <a:srgbClr val="000000"/>
            </a:solidFill>
            <a:latin typeface="HGｺﾞｼｯｸE"/>
            <a:ea typeface="HGｺﾞｼｯｸE"/>
          </a:endParaRP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土曜日もしくは日曜日であった場合、セルの背景色が灰色になります。</a:t>
          </a: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</a:t>
          </a:r>
          <a:r>
            <a:rPr lang="en-US" altLang="ja-JP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※ </a:t>
          </a: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祭日、長期休暇は対応していません。</a:t>
          </a:r>
        </a:p>
      </xdr:txBody>
    </xdr:sp>
    <xdr:clientData/>
  </xdr:twoCellAnchor>
  <xdr:twoCellAnchor>
    <xdr:from>
      <xdr:col>14</xdr:col>
      <xdr:colOff>28575</xdr:colOff>
      <xdr:row>10</xdr:row>
      <xdr:rowOff>133350</xdr:rowOff>
    </xdr:from>
    <xdr:to>
      <xdr:col>72</xdr:col>
      <xdr:colOff>85725</xdr:colOff>
      <xdr:row>14</xdr:row>
      <xdr:rowOff>190500</xdr:rowOff>
    </xdr:to>
    <xdr:sp macro="" textlink="">
      <xdr:nvSpPr>
        <xdr:cNvPr id="8210" name="AutoShape 18"/>
        <xdr:cNvSpPr>
          <a:spLocks noChangeArrowheads="1"/>
        </xdr:cNvSpPr>
      </xdr:nvSpPr>
      <xdr:spPr bwMode="auto">
        <a:xfrm>
          <a:off x="1762125" y="2867025"/>
          <a:ext cx="7239000" cy="1047750"/>
        </a:xfrm>
        <a:prstGeom prst="wedgeRectCallout">
          <a:avLst>
            <a:gd name="adj1" fmla="val -43815"/>
            <a:gd name="adj2" fmla="val -115454"/>
          </a:avLst>
        </a:prstGeom>
        <a:solidFill>
          <a:srgbClr val="FFFFFF"/>
        </a:solidFill>
        <a:ln w="38100" algn="ctr">
          <a:solidFill>
            <a:srgbClr val="FF0000"/>
          </a:solidFill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6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入力されていないセルは黄色の背景色で表示されます。</a:t>
          </a: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</a:t>
          </a:r>
          <a:r>
            <a:rPr lang="en-US" altLang="ja-JP" sz="1800" b="1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※ </a:t>
          </a:r>
          <a:r>
            <a:rPr lang="ja-JP" altLang="en-US" sz="1800" b="1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入力されると、白の背景色に戻ります。</a:t>
          </a:r>
        </a:p>
      </xdr:txBody>
    </xdr:sp>
    <xdr:clientData/>
  </xdr:twoCellAnchor>
  <xdr:twoCellAnchor>
    <xdr:from>
      <xdr:col>90</xdr:col>
      <xdr:colOff>28575</xdr:colOff>
      <xdr:row>1</xdr:row>
      <xdr:rowOff>476250</xdr:rowOff>
    </xdr:from>
    <xdr:to>
      <xdr:col>100</xdr:col>
      <xdr:colOff>0</xdr:colOff>
      <xdr:row>3</xdr:row>
      <xdr:rowOff>66675</xdr:rowOff>
    </xdr:to>
    <xdr:sp macro="" textlink="">
      <xdr:nvSpPr>
        <xdr:cNvPr id="8439" name="Rectangle 19"/>
        <xdr:cNvSpPr>
          <a:spLocks noChangeArrowheads="1"/>
        </xdr:cNvSpPr>
      </xdr:nvSpPr>
      <xdr:spPr bwMode="auto">
        <a:xfrm>
          <a:off x="11172825" y="723900"/>
          <a:ext cx="1209675" cy="342900"/>
        </a:xfrm>
        <a:prstGeom prst="rect">
          <a:avLst/>
        </a:prstGeom>
        <a:noFill/>
        <a:ln w="38100" algn="ctr">
          <a:solidFill>
            <a:srgbClr val="0000FF"/>
          </a:solidFill>
          <a:miter lim="800000"/>
          <a:headEnd/>
          <a:tailEnd/>
        </a:ln>
      </xdr:spPr>
    </xdr:sp>
    <xdr:clientData/>
  </xdr:twoCellAnchor>
  <xdr:twoCellAnchor>
    <xdr:from>
      <xdr:col>73</xdr:col>
      <xdr:colOff>85725</xdr:colOff>
      <xdr:row>14</xdr:row>
      <xdr:rowOff>133350</xdr:rowOff>
    </xdr:from>
    <xdr:to>
      <xdr:col>129</xdr:col>
      <xdr:colOff>0</xdr:colOff>
      <xdr:row>22</xdr:row>
      <xdr:rowOff>180975</xdr:rowOff>
    </xdr:to>
    <xdr:sp macro="" textlink="">
      <xdr:nvSpPr>
        <xdr:cNvPr id="8212" name="AutoShape 20"/>
        <xdr:cNvSpPr>
          <a:spLocks noChangeArrowheads="1"/>
        </xdr:cNvSpPr>
      </xdr:nvSpPr>
      <xdr:spPr bwMode="auto">
        <a:xfrm>
          <a:off x="9124950" y="3857625"/>
          <a:ext cx="6848475" cy="2028825"/>
        </a:xfrm>
        <a:prstGeom prst="wedgeRectCallout">
          <a:avLst>
            <a:gd name="adj1" fmla="val -17870"/>
            <a:gd name="adj2" fmla="val -184014"/>
          </a:avLst>
        </a:prstGeom>
        <a:solidFill>
          <a:srgbClr val="FFFFFF"/>
        </a:solidFill>
        <a:ln w="38100" algn="ctr">
          <a:solidFill>
            <a:srgbClr val="0000FF"/>
          </a:solidFill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右の担当者枠からのリスト選択が可能です。</a:t>
          </a: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</a:t>
          </a:r>
          <a:r>
            <a:rPr lang="en-US" altLang="ja-JP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※ </a:t>
          </a: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人名が変わった場合は、右の青枠内で変更すれば、</a:t>
          </a: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　 リストで表示される内容も反映されます。</a:t>
          </a:r>
        </a:p>
        <a:p>
          <a:pPr algn="l" rtl="0">
            <a:defRPr sz="1000"/>
          </a:pPr>
          <a:endParaRPr lang="ja-JP" altLang="en-US" sz="1800" b="0" i="0" u="none" strike="noStrike" baseline="0">
            <a:solidFill>
              <a:srgbClr val="000000"/>
            </a:solidFill>
            <a:latin typeface="HGｺﾞｼｯｸE"/>
            <a:ea typeface="HGｺﾞｼｯｸE"/>
          </a:endParaRP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選択範囲は、</a:t>
          </a:r>
          <a:r>
            <a:rPr lang="en-US" altLang="ja-JP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EY3</a:t>
          </a: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から</a:t>
          </a:r>
          <a:r>
            <a:rPr lang="en-US" altLang="ja-JP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EY24</a:t>
          </a: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までにしてあります。</a:t>
          </a:r>
        </a:p>
      </xdr:txBody>
    </xdr:sp>
    <xdr:clientData/>
  </xdr:twoCellAnchor>
  <xdr:twoCellAnchor>
    <xdr:from>
      <xdr:col>78</xdr:col>
      <xdr:colOff>9525</xdr:colOff>
      <xdr:row>28</xdr:row>
      <xdr:rowOff>9525</xdr:rowOff>
    </xdr:from>
    <xdr:to>
      <xdr:col>124</xdr:col>
      <xdr:colOff>66675</xdr:colOff>
      <xdr:row>36</xdr:row>
      <xdr:rowOff>161925</xdr:rowOff>
    </xdr:to>
    <xdr:sp macro="" textlink="">
      <xdr:nvSpPr>
        <xdr:cNvPr id="8215" name="AutoShape 23"/>
        <xdr:cNvSpPr>
          <a:spLocks noChangeArrowheads="1"/>
        </xdr:cNvSpPr>
      </xdr:nvSpPr>
      <xdr:spPr bwMode="auto">
        <a:xfrm>
          <a:off x="9667875" y="7200900"/>
          <a:ext cx="5753100" cy="2133600"/>
        </a:xfrm>
        <a:prstGeom prst="cloudCallout">
          <a:avLst>
            <a:gd name="adj1" fmla="val 37912"/>
            <a:gd name="adj2" fmla="val 66069"/>
          </a:avLst>
        </a:prstGeom>
        <a:solidFill>
          <a:srgbClr val="FFFFFF"/>
        </a:solidFill>
        <a:ln w="25400">
          <a:solidFill>
            <a:srgbClr val="FF0000"/>
          </a:solidFill>
          <a:round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defRPr sz="1000"/>
          </a:pPr>
          <a:r>
            <a:rPr lang="ja-JP" altLang="en-US" sz="1800" b="1" i="0" u="none" strike="noStrike" baseline="0">
              <a:solidFill>
                <a:srgbClr val="FF0000"/>
              </a:solidFill>
              <a:latin typeface="HGｺﾞｼｯｸE"/>
              <a:ea typeface="HGｺﾞｼｯｸE"/>
            </a:rPr>
            <a:t>シート内の入力可能なセル以外にはロックをかけてあります。</a:t>
          </a:r>
        </a:p>
      </xdr:txBody>
    </xdr:sp>
    <xdr:clientData/>
  </xdr:twoCellAnchor>
  <xdr:twoCellAnchor>
    <xdr:from>
      <xdr:col>153</xdr:col>
      <xdr:colOff>533400</xdr:colOff>
      <xdr:row>1</xdr:row>
      <xdr:rowOff>409575</xdr:rowOff>
    </xdr:from>
    <xdr:to>
      <xdr:col>155</xdr:col>
      <xdr:colOff>152400</xdr:colOff>
      <xdr:row>24</xdr:row>
      <xdr:rowOff>57150</xdr:rowOff>
    </xdr:to>
    <xdr:sp macro="" textlink="">
      <xdr:nvSpPr>
        <xdr:cNvPr id="8442" name="Rectangle 24"/>
        <xdr:cNvSpPr>
          <a:spLocks noChangeArrowheads="1"/>
        </xdr:cNvSpPr>
      </xdr:nvSpPr>
      <xdr:spPr bwMode="auto">
        <a:xfrm>
          <a:off x="21659850" y="657225"/>
          <a:ext cx="990600" cy="5600700"/>
        </a:xfrm>
        <a:prstGeom prst="rect">
          <a:avLst/>
        </a:prstGeom>
        <a:noFill/>
        <a:ln w="38100" algn="ctr">
          <a:solidFill>
            <a:srgbClr val="0000FF"/>
          </a:solidFill>
          <a:miter lim="800000"/>
          <a:headEnd/>
          <a:tailEnd/>
        </a:ln>
      </xdr:spPr>
    </xdr:sp>
    <xdr:clientData/>
  </xdr:twoCellAnchor>
  <xdr:twoCellAnchor>
    <xdr:from>
      <xdr:col>128</xdr:col>
      <xdr:colOff>104775</xdr:colOff>
      <xdr:row>16</xdr:row>
      <xdr:rowOff>123825</xdr:rowOff>
    </xdr:from>
    <xdr:to>
      <xdr:col>153</xdr:col>
      <xdr:colOff>428625</xdr:colOff>
      <xdr:row>16</xdr:row>
      <xdr:rowOff>123825</xdr:rowOff>
    </xdr:to>
    <xdr:sp macro="" textlink="">
      <xdr:nvSpPr>
        <xdr:cNvPr id="8443" name="Line 25"/>
        <xdr:cNvSpPr>
          <a:spLocks noChangeShapeType="1"/>
        </xdr:cNvSpPr>
      </xdr:nvSpPr>
      <xdr:spPr bwMode="auto">
        <a:xfrm>
          <a:off x="15954375" y="4343400"/>
          <a:ext cx="5600700" cy="0"/>
        </a:xfrm>
        <a:prstGeom prst="line">
          <a:avLst/>
        </a:prstGeom>
        <a:noFill/>
        <a:ln w="38100">
          <a:solidFill>
            <a:srgbClr val="0000FF"/>
          </a:solidFill>
          <a:round/>
          <a:headEnd/>
          <a:tailEnd type="triangle" w="lg" len="lg"/>
        </a:ln>
      </xdr:spPr>
    </xdr:sp>
    <xdr:clientData/>
  </xdr:twoCellAnchor>
  <xdr:twoCellAnchor editAs="oneCell">
    <xdr:from>
      <xdr:col>117</xdr:col>
      <xdr:colOff>85725</xdr:colOff>
      <xdr:row>35</xdr:row>
      <xdr:rowOff>200025</xdr:rowOff>
    </xdr:from>
    <xdr:to>
      <xdr:col>132</xdr:col>
      <xdr:colOff>57150</xdr:colOff>
      <xdr:row>43</xdr:row>
      <xdr:rowOff>47625</xdr:rowOff>
    </xdr:to>
    <xdr:pic>
      <xdr:nvPicPr>
        <xdr:cNvPr id="8444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573250" y="9124950"/>
          <a:ext cx="1828800" cy="1828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130</xdr:col>
      <xdr:colOff>28575</xdr:colOff>
      <xdr:row>22</xdr:row>
      <xdr:rowOff>200025</xdr:rowOff>
    </xdr:from>
    <xdr:to>
      <xdr:col>155</xdr:col>
      <xdr:colOff>438150</xdr:colOff>
      <xdr:row>38</xdr:row>
      <xdr:rowOff>219075</xdr:rowOff>
    </xdr:to>
    <xdr:sp macro="" textlink="">
      <xdr:nvSpPr>
        <xdr:cNvPr id="8219" name="AutoShape 27"/>
        <xdr:cNvSpPr>
          <a:spLocks noChangeArrowheads="1"/>
        </xdr:cNvSpPr>
      </xdr:nvSpPr>
      <xdr:spPr bwMode="auto">
        <a:xfrm>
          <a:off x="16125825" y="5905500"/>
          <a:ext cx="6810375" cy="3981450"/>
        </a:xfrm>
        <a:prstGeom prst="cloudCallout">
          <a:avLst>
            <a:gd name="adj1" fmla="val -48593"/>
            <a:gd name="adj2" fmla="val 48963"/>
          </a:avLst>
        </a:prstGeom>
        <a:solidFill>
          <a:srgbClr val="FFFFFF"/>
        </a:solidFill>
        <a:ln w="25400">
          <a:solidFill>
            <a:srgbClr val="0000FF"/>
          </a:solidFill>
          <a:round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プルダウンセルのキー入力方法</a:t>
          </a:r>
        </a:p>
        <a:p>
          <a:pPr algn="l" rtl="0">
            <a:defRPr sz="1000"/>
          </a:pPr>
          <a:endParaRPr lang="ja-JP" altLang="en-US" sz="1800" b="1" i="0" u="none" strike="noStrike" baseline="0">
            <a:solidFill>
              <a:srgbClr val="0000FF"/>
            </a:solidFill>
            <a:latin typeface="HGｺﾞｼｯｸE"/>
            <a:ea typeface="HGｺﾞｼｯｸE"/>
          </a:endParaRP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① </a:t>
          </a:r>
          <a:r>
            <a:rPr lang="en-US" altLang="ja-JP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Alt</a:t>
          </a: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キーを押しながら矢印キー</a:t>
          </a: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　 で先ずリストを表示させます。</a:t>
          </a:r>
        </a:p>
        <a:p>
          <a:pPr algn="l" rtl="0">
            <a:defRPr sz="1000"/>
          </a:pPr>
          <a:endParaRPr lang="ja-JP" altLang="en-US" sz="400" b="1" i="0" u="none" strike="noStrike" baseline="0">
            <a:solidFill>
              <a:srgbClr val="0000FF"/>
            </a:solidFill>
            <a:latin typeface="HGｺﾞｼｯｸE"/>
            <a:ea typeface="HGｺﾞｼｯｸE"/>
          </a:endParaRP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② 矢印キーを押すことで、リスト</a:t>
          </a: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　 内の項目を選択できます。</a:t>
          </a:r>
        </a:p>
        <a:p>
          <a:pPr algn="l" rtl="0">
            <a:defRPr sz="1000"/>
          </a:pPr>
          <a:endParaRPr lang="ja-JP" altLang="en-US" sz="400" b="1" i="0" u="none" strike="noStrike" baseline="0">
            <a:solidFill>
              <a:srgbClr val="0000FF"/>
            </a:solidFill>
            <a:latin typeface="HGｺﾞｼｯｸE"/>
            <a:ea typeface="HGｺﾞｼｯｸE"/>
          </a:endParaRP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③ 決定後、</a:t>
          </a:r>
          <a:r>
            <a:rPr lang="en-US" altLang="ja-JP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TAB</a:t>
          </a: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キーで次のセルに</a:t>
          </a:r>
        </a:p>
        <a:p>
          <a:pPr algn="l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HGｺﾞｼｯｸE"/>
              <a:ea typeface="HGｺﾞｼｯｸE"/>
            </a:rPr>
            <a:t>　 移動します。</a:t>
          </a:r>
        </a:p>
      </xdr:txBody>
    </xdr:sp>
    <xdr:clientData/>
  </xdr:twoCellAnchor>
  <xdr:twoCellAnchor>
    <xdr:from>
      <xdr:col>97</xdr:col>
      <xdr:colOff>85725</xdr:colOff>
      <xdr:row>3</xdr:row>
      <xdr:rowOff>152400</xdr:rowOff>
    </xdr:from>
    <xdr:to>
      <xdr:col>112</xdr:col>
      <xdr:colOff>104775</xdr:colOff>
      <xdr:row>5</xdr:row>
      <xdr:rowOff>180975</xdr:rowOff>
    </xdr:to>
    <xdr:sp macro="" textlink="">
      <xdr:nvSpPr>
        <xdr:cNvPr id="8446" name="Rectangle 28"/>
        <xdr:cNvSpPr>
          <a:spLocks noChangeArrowheads="1"/>
        </xdr:cNvSpPr>
      </xdr:nvSpPr>
      <xdr:spPr bwMode="auto">
        <a:xfrm>
          <a:off x="12096750" y="1152525"/>
          <a:ext cx="1876425" cy="523875"/>
        </a:xfrm>
        <a:prstGeom prst="rect">
          <a:avLst/>
        </a:prstGeom>
        <a:noFill/>
        <a:ln w="38100" algn="ctr">
          <a:solidFill>
            <a:srgbClr val="00FF00"/>
          </a:solidFill>
          <a:miter lim="800000"/>
          <a:headEnd/>
          <a:tailEnd/>
        </a:ln>
      </xdr:spPr>
    </xdr:sp>
    <xdr:clientData/>
  </xdr:twoCellAnchor>
  <xdr:twoCellAnchor>
    <xdr:from>
      <xdr:col>100</xdr:col>
      <xdr:colOff>38100</xdr:colOff>
      <xdr:row>7</xdr:row>
      <xdr:rowOff>200025</xdr:rowOff>
    </xdr:from>
    <xdr:to>
      <xdr:col>129</xdr:col>
      <xdr:colOff>28575</xdr:colOff>
      <xdr:row>12</xdr:row>
      <xdr:rowOff>133350</xdr:rowOff>
    </xdr:to>
    <xdr:sp macro="" textlink="">
      <xdr:nvSpPr>
        <xdr:cNvPr id="8221" name="AutoShape 29"/>
        <xdr:cNvSpPr>
          <a:spLocks noChangeArrowheads="1"/>
        </xdr:cNvSpPr>
      </xdr:nvSpPr>
      <xdr:spPr bwMode="auto">
        <a:xfrm>
          <a:off x="12420600" y="2190750"/>
          <a:ext cx="3581400" cy="1171575"/>
        </a:xfrm>
        <a:prstGeom prst="wedgeRectCallout">
          <a:avLst>
            <a:gd name="adj1" fmla="val -35370"/>
            <a:gd name="adj2" fmla="val -89023"/>
          </a:avLst>
        </a:prstGeom>
        <a:solidFill>
          <a:srgbClr val="FFFFFF"/>
        </a:solidFill>
        <a:ln w="38100" algn="ctr">
          <a:solidFill>
            <a:srgbClr val="00FF00"/>
          </a:solidFill>
          <a:miter lim="800000"/>
          <a:headEnd/>
          <a:tailEnd/>
        </a:ln>
        <a:effectLst/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締め日を表示するセルを</a:t>
          </a:r>
        </a:p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HGｺﾞｼｯｸE"/>
              <a:ea typeface="HGｺﾞｼｯｸE"/>
            </a:rPr>
            <a:t>　追加しました。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76200</xdr:rowOff>
    </xdr:from>
    <xdr:to>
      <xdr:col>0</xdr:col>
      <xdr:colOff>0</xdr:colOff>
      <xdr:row>15</xdr:row>
      <xdr:rowOff>266700</xdr:rowOff>
    </xdr:to>
    <xdr:sp macro="" textlink="">
      <xdr:nvSpPr>
        <xdr:cNvPr id="6583" name="Oval 16"/>
        <xdr:cNvSpPr>
          <a:spLocks noChangeArrowheads="1"/>
        </xdr:cNvSpPr>
      </xdr:nvSpPr>
      <xdr:spPr bwMode="auto">
        <a:xfrm>
          <a:off x="0" y="40481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57150</xdr:rowOff>
    </xdr:from>
    <xdr:to>
      <xdr:col>0</xdr:col>
      <xdr:colOff>0</xdr:colOff>
      <xdr:row>16</xdr:row>
      <xdr:rowOff>266700</xdr:rowOff>
    </xdr:to>
    <xdr:sp macro="" textlink="">
      <xdr:nvSpPr>
        <xdr:cNvPr id="6584" name="Oval 17"/>
        <xdr:cNvSpPr>
          <a:spLocks noChangeArrowheads="1"/>
        </xdr:cNvSpPr>
      </xdr:nvSpPr>
      <xdr:spPr bwMode="auto">
        <a:xfrm>
          <a:off x="0" y="4276725"/>
          <a:ext cx="0" cy="1905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20</xdr:row>
      <xdr:rowOff>95250</xdr:rowOff>
    </xdr:from>
    <xdr:to>
      <xdr:col>0</xdr:col>
      <xdr:colOff>0</xdr:colOff>
      <xdr:row>20</xdr:row>
      <xdr:rowOff>266700</xdr:rowOff>
    </xdr:to>
    <xdr:sp macro="" textlink="">
      <xdr:nvSpPr>
        <xdr:cNvPr id="6585" name="Oval 22"/>
        <xdr:cNvSpPr>
          <a:spLocks noChangeArrowheads="1"/>
        </xdr:cNvSpPr>
      </xdr:nvSpPr>
      <xdr:spPr bwMode="auto">
        <a:xfrm>
          <a:off x="0" y="5305425"/>
          <a:ext cx="0" cy="1524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20</xdr:row>
      <xdr:rowOff>57150</xdr:rowOff>
    </xdr:from>
    <xdr:to>
      <xdr:col>0</xdr:col>
      <xdr:colOff>0</xdr:colOff>
      <xdr:row>20</xdr:row>
      <xdr:rowOff>238125</xdr:rowOff>
    </xdr:to>
    <xdr:sp macro="" textlink="">
      <xdr:nvSpPr>
        <xdr:cNvPr id="6586" name="Oval 23"/>
        <xdr:cNvSpPr>
          <a:spLocks noChangeArrowheads="1"/>
        </xdr:cNvSpPr>
      </xdr:nvSpPr>
      <xdr:spPr bwMode="auto">
        <a:xfrm>
          <a:off x="0" y="5267325"/>
          <a:ext cx="0" cy="18097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76200</xdr:rowOff>
    </xdr:from>
    <xdr:to>
      <xdr:col>0</xdr:col>
      <xdr:colOff>0</xdr:colOff>
      <xdr:row>23</xdr:row>
      <xdr:rowOff>285750</xdr:rowOff>
    </xdr:to>
    <xdr:sp macro="" textlink="">
      <xdr:nvSpPr>
        <xdr:cNvPr id="6587" name="Oval 27"/>
        <xdr:cNvSpPr>
          <a:spLocks noChangeArrowheads="1"/>
        </xdr:cNvSpPr>
      </xdr:nvSpPr>
      <xdr:spPr bwMode="auto">
        <a:xfrm>
          <a:off x="0" y="60293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17</xdr:row>
      <xdr:rowOff>85725</xdr:rowOff>
    </xdr:from>
    <xdr:to>
      <xdr:col>0</xdr:col>
      <xdr:colOff>0</xdr:colOff>
      <xdr:row>17</xdr:row>
      <xdr:rowOff>266700</xdr:rowOff>
    </xdr:to>
    <xdr:sp macro="" textlink="">
      <xdr:nvSpPr>
        <xdr:cNvPr id="6588" name="Oval 28"/>
        <xdr:cNvSpPr>
          <a:spLocks noChangeArrowheads="1"/>
        </xdr:cNvSpPr>
      </xdr:nvSpPr>
      <xdr:spPr bwMode="auto">
        <a:xfrm>
          <a:off x="0" y="4552950"/>
          <a:ext cx="0" cy="16192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17</xdr:row>
      <xdr:rowOff>57150</xdr:rowOff>
    </xdr:from>
    <xdr:to>
      <xdr:col>0</xdr:col>
      <xdr:colOff>0</xdr:colOff>
      <xdr:row>17</xdr:row>
      <xdr:rowOff>266700</xdr:rowOff>
    </xdr:to>
    <xdr:sp macro="" textlink="">
      <xdr:nvSpPr>
        <xdr:cNvPr id="6589" name="Oval 29"/>
        <xdr:cNvSpPr>
          <a:spLocks noChangeArrowheads="1"/>
        </xdr:cNvSpPr>
      </xdr:nvSpPr>
      <xdr:spPr bwMode="auto">
        <a:xfrm>
          <a:off x="0" y="4524375"/>
          <a:ext cx="0" cy="1905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76200</xdr:rowOff>
    </xdr:from>
    <xdr:to>
      <xdr:col>0</xdr:col>
      <xdr:colOff>0</xdr:colOff>
      <xdr:row>18</xdr:row>
      <xdr:rowOff>257175</xdr:rowOff>
    </xdr:to>
    <xdr:sp macro="" textlink="">
      <xdr:nvSpPr>
        <xdr:cNvPr id="6590" name="Oval 30"/>
        <xdr:cNvSpPr>
          <a:spLocks noChangeArrowheads="1"/>
        </xdr:cNvSpPr>
      </xdr:nvSpPr>
      <xdr:spPr bwMode="auto">
        <a:xfrm>
          <a:off x="0" y="479107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66675</xdr:rowOff>
    </xdr:from>
    <xdr:to>
      <xdr:col>0</xdr:col>
      <xdr:colOff>0</xdr:colOff>
      <xdr:row>18</xdr:row>
      <xdr:rowOff>247650</xdr:rowOff>
    </xdr:to>
    <xdr:sp macro="" textlink="">
      <xdr:nvSpPr>
        <xdr:cNvPr id="6591" name="Oval 31"/>
        <xdr:cNvSpPr>
          <a:spLocks noChangeArrowheads="1"/>
        </xdr:cNvSpPr>
      </xdr:nvSpPr>
      <xdr:spPr bwMode="auto">
        <a:xfrm>
          <a:off x="0" y="4781550"/>
          <a:ext cx="0" cy="18097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47625</xdr:rowOff>
    </xdr:from>
    <xdr:to>
      <xdr:col>0</xdr:col>
      <xdr:colOff>0</xdr:colOff>
      <xdr:row>23</xdr:row>
      <xdr:rowOff>257175</xdr:rowOff>
    </xdr:to>
    <xdr:sp macro="" textlink="">
      <xdr:nvSpPr>
        <xdr:cNvPr id="6592" name="Oval 32"/>
        <xdr:cNvSpPr>
          <a:spLocks noChangeArrowheads="1"/>
        </xdr:cNvSpPr>
      </xdr:nvSpPr>
      <xdr:spPr bwMode="auto">
        <a:xfrm>
          <a:off x="0" y="6000750"/>
          <a:ext cx="0" cy="200025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95250</xdr:rowOff>
    </xdr:from>
    <xdr:to>
      <xdr:col>0</xdr:col>
      <xdr:colOff>0</xdr:colOff>
      <xdr:row>21</xdr:row>
      <xdr:rowOff>266700</xdr:rowOff>
    </xdr:to>
    <xdr:sp macro="" textlink="">
      <xdr:nvSpPr>
        <xdr:cNvPr id="6593" name="Oval 33"/>
        <xdr:cNvSpPr>
          <a:spLocks noChangeArrowheads="1"/>
        </xdr:cNvSpPr>
      </xdr:nvSpPr>
      <xdr:spPr bwMode="auto">
        <a:xfrm>
          <a:off x="0" y="5553075"/>
          <a:ext cx="0" cy="15240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76200</xdr:rowOff>
    </xdr:from>
    <xdr:to>
      <xdr:col>0</xdr:col>
      <xdr:colOff>0</xdr:colOff>
      <xdr:row>21</xdr:row>
      <xdr:rowOff>257175</xdr:rowOff>
    </xdr:to>
    <xdr:sp macro="" textlink="">
      <xdr:nvSpPr>
        <xdr:cNvPr id="6594" name="Oval 34"/>
        <xdr:cNvSpPr>
          <a:spLocks noChangeArrowheads="1"/>
        </xdr:cNvSpPr>
      </xdr:nvSpPr>
      <xdr:spPr bwMode="auto">
        <a:xfrm>
          <a:off x="0" y="5534025"/>
          <a:ext cx="0" cy="171450"/>
        </a:xfrm>
        <a:prstGeom prst="ellips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71</xdr:col>
      <xdr:colOff>114300</xdr:colOff>
      <xdr:row>0</xdr:row>
      <xdr:rowOff>38100</xdr:rowOff>
    </xdr:from>
    <xdr:to>
      <xdr:col>89</xdr:col>
      <xdr:colOff>38100</xdr:colOff>
      <xdr:row>1</xdr:row>
      <xdr:rowOff>314325</xdr:rowOff>
    </xdr:to>
    <xdr:sp macro="" textlink="">
      <xdr:nvSpPr>
        <xdr:cNvPr id="6180" name="AutoShape 36"/>
        <xdr:cNvSpPr>
          <a:spLocks noChangeArrowheads="1"/>
        </xdr:cNvSpPr>
      </xdr:nvSpPr>
      <xdr:spPr bwMode="auto">
        <a:xfrm>
          <a:off x="8905875" y="38100"/>
          <a:ext cx="2152650" cy="523875"/>
        </a:xfrm>
        <a:prstGeom prst="wedgeEllipseCallout">
          <a:avLst>
            <a:gd name="adj1" fmla="val -54866"/>
            <a:gd name="adj2" fmla="val 6090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受注連絡表、仮発注書とが選択できます</a:t>
          </a:r>
        </a:p>
      </xdr:txBody>
    </xdr:sp>
    <xdr:clientData/>
  </xdr:twoCellAnchor>
  <xdr:twoCellAnchor>
    <xdr:from>
      <xdr:col>38</xdr:col>
      <xdr:colOff>85725</xdr:colOff>
      <xdr:row>2</xdr:row>
      <xdr:rowOff>209550</xdr:rowOff>
    </xdr:from>
    <xdr:to>
      <xdr:col>44</xdr:col>
      <xdr:colOff>9525</xdr:colOff>
      <xdr:row>4</xdr:row>
      <xdr:rowOff>9525</xdr:rowOff>
    </xdr:to>
    <xdr:sp macro="" textlink="">
      <xdr:nvSpPr>
        <xdr:cNvPr id="6181" name="AutoShape 37"/>
        <xdr:cNvSpPr>
          <a:spLocks noChangeArrowheads="1"/>
        </xdr:cNvSpPr>
      </xdr:nvSpPr>
      <xdr:spPr bwMode="auto">
        <a:xfrm>
          <a:off x="4791075" y="962025"/>
          <a:ext cx="666750" cy="295275"/>
        </a:xfrm>
        <a:prstGeom prst="wedgeEllipseCallout">
          <a:avLst>
            <a:gd name="adj1" fmla="val 107144"/>
            <a:gd name="adj2" fmla="val 95162"/>
          </a:avLst>
        </a:prstGeom>
        <a:solidFill>
          <a:srgbClr val="FFFFFF">
            <a:alpha val="70000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右・左</a:t>
          </a:r>
        </a:p>
      </xdr:txBody>
    </xdr:sp>
    <xdr:clientData/>
  </xdr:twoCellAnchor>
  <xdr:twoCellAnchor>
    <xdr:from>
      <xdr:col>44</xdr:col>
      <xdr:colOff>28575</xdr:colOff>
      <xdr:row>0</xdr:row>
      <xdr:rowOff>161925</xdr:rowOff>
    </xdr:from>
    <xdr:to>
      <xdr:col>55</xdr:col>
      <xdr:colOff>0</xdr:colOff>
      <xdr:row>1</xdr:row>
      <xdr:rowOff>361950</xdr:rowOff>
    </xdr:to>
    <xdr:sp macro="" textlink="">
      <xdr:nvSpPr>
        <xdr:cNvPr id="6182" name="AutoShape 38"/>
        <xdr:cNvSpPr>
          <a:spLocks noChangeArrowheads="1"/>
        </xdr:cNvSpPr>
      </xdr:nvSpPr>
      <xdr:spPr bwMode="auto">
        <a:xfrm>
          <a:off x="5476875" y="161925"/>
          <a:ext cx="1333500" cy="447675"/>
        </a:xfrm>
        <a:prstGeom prst="wedgeEllipseCallout">
          <a:avLst>
            <a:gd name="adj1" fmla="val 19287"/>
            <a:gd name="adj2" fmla="val 194681"/>
          </a:avLst>
        </a:prstGeom>
        <a:solidFill>
          <a:srgbClr val="FFFFFF">
            <a:alpha val="30000"/>
          </a:srgbClr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中・無線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あじろ・カガリ</a:t>
          </a:r>
        </a:p>
        <a:p>
          <a:pPr algn="ctr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51</xdr:col>
      <xdr:colOff>85725</xdr:colOff>
      <xdr:row>2</xdr:row>
      <xdr:rowOff>200025</xdr:rowOff>
    </xdr:from>
    <xdr:to>
      <xdr:col>71</xdr:col>
      <xdr:colOff>19050</xdr:colOff>
      <xdr:row>3</xdr:row>
      <xdr:rowOff>209550</xdr:rowOff>
    </xdr:to>
    <xdr:sp macro="" textlink="">
      <xdr:nvSpPr>
        <xdr:cNvPr id="6183" name="AutoShape 39"/>
        <xdr:cNvSpPr>
          <a:spLocks noChangeArrowheads="1"/>
        </xdr:cNvSpPr>
      </xdr:nvSpPr>
      <xdr:spPr bwMode="auto">
        <a:xfrm>
          <a:off x="6400800" y="952500"/>
          <a:ext cx="2409825" cy="257175"/>
        </a:xfrm>
        <a:prstGeom prst="wedgeEllipseCallout">
          <a:avLst>
            <a:gd name="adj1" fmla="val 15218"/>
            <a:gd name="adj2" fmla="val 90741"/>
          </a:avLst>
        </a:prstGeom>
        <a:solidFill>
          <a:srgbClr val="FFFFFF">
            <a:alpha val="70000"/>
          </a:srgbClr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社内製版・ﾃﾞｰﾀ受・ﾌｨﾙﾑ受</a:t>
          </a: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36</xdr:col>
      <xdr:colOff>19050</xdr:colOff>
      <xdr:row>8</xdr:row>
      <xdr:rowOff>28575</xdr:rowOff>
    </xdr:from>
    <xdr:to>
      <xdr:col>39</xdr:col>
      <xdr:colOff>85725</xdr:colOff>
      <xdr:row>17</xdr:row>
      <xdr:rowOff>200025</xdr:rowOff>
    </xdr:to>
    <xdr:sp macro="" textlink="">
      <xdr:nvSpPr>
        <xdr:cNvPr id="6599" name="Rectangle 40"/>
        <xdr:cNvSpPr>
          <a:spLocks noChangeArrowheads="1"/>
        </xdr:cNvSpPr>
      </xdr:nvSpPr>
      <xdr:spPr bwMode="auto">
        <a:xfrm>
          <a:off x="4476750" y="2266950"/>
          <a:ext cx="438150" cy="2400300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57150</xdr:colOff>
      <xdr:row>11</xdr:row>
      <xdr:rowOff>161925</xdr:rowOff>
    </xdr:from>
    <xdr:to>
      <xdr:col>34</xdr:col>
      <xdr:colOff>76200</xdr:colOff>
      <xdr:row>13</xdr:row>
      <xdr:rowOff>180975</xdr:rowOff>
    </xdr:to>
    <xdr:sp macro="" textlink="">
      <xdr:nvSpPr>
        <xdr:cNvPr id="6185" name="AutoShape 41"/>
        <xdr:cNvSpPr>
          <a:spLocks noChangeArrowheads="1"/>
        </xdr:cNvSpPr>
      </xdr:nvSpPr>
      <xdr:spPr bwMode="auto">
        <a:xfrm>
          <a:off x="3771900" y="3143250"/>
          <a:ext cx="514350" cy="514350"/>
        </a:xfrm>
        <a:prstGeom prst="wedgeEllipseCallout">
          <a:avLst>
            <a:gd name="adj1" fmla="val 81481"/>
            <a:gd name="adj2" fmla="val -122222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オフ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グラ</a:t>
          </a:r>
        </a:p>
      </xdr:txBody>
    </xdr:sp>
    <xdr:clientData/>
  </xdr:twoCellAnchor>
  <xdr:twoCellAnchor>
    <xdr:from>
      <xdr:col>40</xdr:col>
      <xdr:colOff>38100</xdr:colOff>
      <xdr:row>8</xdr:row>
      <xdr:rowOff>28575</xdr:rowOff>
    </xdr:from>
    <xdr:to>
      <xdr:col>43</xdr:col>
      <xdr:colOff>95250</xdr:colOff>
      <xdr:row>17</xdr:row>
      <xdr:rowOff>209550</xdr:rowOff>
    </xdr:to>
    <xdr:sp macro="" textlink="">
      <xdr:nvSpPr>
        <xdr:cNvPr id="6601" name="Rectangle 42"/>
        <xdr:cNvSpPr>
          <a:spLocks noChangeArrowheads="1"/>
        </xdr:cNvSpPr>
      </xdr:nvSpPr>
      <xdr:spPr bwMode="auto">
        <a:xfrm>
          <a:off x="4991100" y="2266950"/>
          <a:ext cx="428625" cy="240982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38100</xdr:colOff>
      <xdr:row>11</xdr:row>
      <xdr:rowOff>95250</xdr:rowOff>
    </xdr:from>
    <xdr:to>
      <xdr:col>49</xdr:col>
      <xdr:colOff>66675</xdr:colOff>
      <xdr:row>13</xdr:row>
      <xdr:rowOff>161925</xdr:rowOff>
    </xdr:to>
    <xdr:sp macro="" textlink="">
      <xdr:nvSpPr>
        <xdr:cNvPr id="6187" name="AutoShape 43"/>
        <xdr:cNvSpPr>
          <a:spLocks noChangeArrowheads="1"/>
        </xdr:cNvSpPr>
      </xdr:nvSpPr>
      <xdr:spPr bwMode="auto">
        <a:xfrm>
          <a:off x="5610225" y="3076575"/>
          <a:ext cx="523875" cy="561975"/>
        </a:xfrm>
        <a:prstGeom prst="wedgeEllipseCallout">
          <a:avLst>
            <a:gd name="adj1" fmla="val -79093"/>
            <a:gd name="adj2" fmla="val -95764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枚葉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輪転</a:t>
          </a:r>
        </a:p>
      </xdr:txBody>
    </xdr:sp>
    <xdr:clientData/>
  </xdr:twoCellAnchor>
  <xdr:twoCellAnchor>
    <xdr:from>
      <xdr:col>97</xdr:col>
      <xdr:colOff>19050</xdr:colOff>
      <xdr:row>8</xdr:row>
      <xdr:rowOff>28575</xdr:rowOff>
    </xdr:from>
    <xdr:to>
      <xdr:col>99</xdr:col>
      <xdr:colOff>104775</xdr:colOff>
      <xdr:row>17</xdr:row>
      <xdr:rowOff>209550</xdr:rowOff>
    </xdr:to>
    <xdr:sp macro="" textlink="">
      <xdr:nvSpPr>
        <xdr:cNvPr id="6603" name="Rectangle 45"/>
        <xdr:cNvSpPr>
          <a:spLocks noChangeArrowheads="1"/>
        </xdr:cNvSpPr>
      </xdr:nvSpPr>
      <xdr:spPr bwMode="auto">
        <a:xfrm>
          <a:off x="12030075" y="2266950"/>
          <a:ext cx="333375" cy="240982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89</xdr:col>
      <xdr:colOff>0</xdr:colOff>
      <xdr:row>12</xdr:row>
      <xdr:rowOff>219075</xdr:rowOff>
    </xdr:from>
    <xdr:to>
      <xdr:col>95</xdr:col>
      <xdr:colOff>76200</xdr:colOff>
      <xdr:row>16</xdr:row>
      <xdr:rowOff>47625</xdr:rowOff>
    </xdr:to>
    <xdr:sp macro="" textlink="">
      <xdr:nvSpPr>
        <xdr:cNvPr id="6190" name="AutoShape 46"/>
        <xdr:cNvSpPr>
          <a:spLocks noChangeArrowheads="1"/>
        </xdr:cNvSpPr>
      </xdr:nvSpPr>
      <xdr:spPr bwMode="auto">
        <a:xfrm>
          <a:off x="11020425" y="3448050"/>
          <a:ext cx="819150" cy="819150"/>
        </a:xfrm>
        <a:prstGeom prst="wedgeEllipseCallout">
          <a:avLst>
            <a:gd name="adj1" fmla="val 75583"/>
            <a:gd name="adj2" fmla="val -75583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全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半才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四才</a:t>
          </a:r>
        </a:p>
        <a:p>
          <a:pPr algn="ctr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59</xdr:col>
      <xdr:colOff>57150</xdr:colOff>
      <xdr:row>0</xdr:row>
      <xdr:rowOff>238125</xdr:rowOff>
    </xdr:from>
    <xdr:to>
      <xdr:col>71</xdr:col>
      <xdr:colOff>9525</xdr:colOff>
      <xdr:row>1</xdr:row>
      <xdr:rowOff>466725</xdr:rowOff>
    </xdr:to>
    <xdr:sp macro="" textlink="">
      <xdr:nvSpPr>
        <xdr:cNvPr id="6605" name="Rectangle 47"/>
        <xdr:cNvSpPr>
          <a:spLocks noChangeArrowheads="1"/>
        </xdr:cNvSpPr>
      </xdr:nvSpPr>
      <xdr:spPr bwMode="auto">
        <a:xfrm>
          <a:off x="7362825" y="238125"/>
          <a:ext cx="1438275" cy="476250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47</xdr:col>
      <xdr:colOff>19050</xdr:colOff>
      <xdr:row>4</xdr:row>
      <xdr:rowOff>0</xdr:rowOff>
    </xdr:from>
    <xdr:to>
      <xdr:col>49</xdr:col>
      <xdr:colOff>114300</xdr:colOff>
      <xdr:row>4</xdr:row>
      <xdr:rowOff>238125</xdr:rowOff>
    </xdr:to>
    <xdr:sp macro="" textlink="">
      <xdr:nvSpPr>
        <xdr:cNvPr id="6606" name="Rectangle 48"/>
        <xdr:cNvSpPr>
          <a:spLocks noChangeArrowheads="1"/>
        </xdr:cNvSpPr>
      </xdr:nvSpPr>
      <xdr:spPr bwMode="auto">
        <a:xfrm>
          <a:off x="5838825" y="1247775"/>
          <a:ext cx="342900" cy="23812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50</xdr:col>
      <xdr:colOff>66675</xdr:colOff>
      <xdr:row>4</xdr:row>
      <xdr:rowOff>9525</xdr:rowOff>
    </xdr:from>
    <xdr:to>
      <xdr:col>55</xdr:col>
      <xdr:colOff>85725</xdr:colOff>
      <xdr:row>4</xdr:row>
      <xdr:rowOff>228600</xdr:rowOff>
    </xdr:to>
    <xdr:sp macro="" textlink="">
      <xdr:nvSpPr>
        <xdr:cNvPr id="6607" name="Rectangle 49"/>
        <xdr:cNvSpPr>
          <a:spLocks noChangeArrowheads="1"/>
        </xdr:cNvSpPr>
      </xdr:nvSpPr>
      <xdr:spPr bwMode="auto">
        <a:xfrm>
          <a:off x="6257925" y="1257300"/>
          <a:ext cx="638175" cy="2190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64</xdr:col>
      <xdr:colOff>57150</xdr:colOff>
      <xdr:row>4</xdr:row>
      <xdr:rowOff>28575</xdr:rowOff>
    </xdr:from>
    <xdr:to>
      <xdr:col>71</xdr:col>
      <xdr:colOff>95250</xdr:colOff>
      <xdr:row>4</xdr:row>
      <xdr:rowOff>219075</xdr:rowOff>
    </xdr:to>
    <xdr:sp macro="" textlink="">
      <xdr:nvSpPr>
        <xdr:cNvPr id="6608" name="Rectangle 50"/>
        <xdr:cNvSpPr>
          <a:spLocks noChangeArrowheads="1"/>
        </xdr:cNvSpPr>
      </xdr:nvSpPr>
      <xdr:spPr bwMode="auto">
        <a:xfrm>
          <a:off x="7981950" y="1276350"/>
          <a:ext cx="904875" cy="190500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100</xdr:col>
      <xdr:colOff>38100</xdr:colOff>
      <xdr:row>8</xdr:row>
      <xdr:rowOff>28575</xdr:rowOff>
    </xdr:from>
    <xdr:to>
      <xdr:col>103</xdr:col>
      <xdr:colOff>104775</xdr:colOff>
      <xdr:row>17</xdr:row>
      <xdr:rowOff>200025</xdr:rowOff>
    </xdr:to>
    <xdr:sp macro="" textlink="">
      <xdr:nvSpPr>
        <xdr:cNvPr id="6609" name="Rectangle 51"/>
        <xdr:cNvSpPr>
          <a:spLocks noChangeArrowheads="1"/>
        </xdr:cNvSpPr>
      </xdr:nvSpPr>
      <xdr:spPr bwMode="auto">
        <a:xfrm>
          <a:off x="12420600" y="2266950"/>
          <a:ext cx="438150" cy="2400300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106</xdr:col>
      <xdr:colOff>95250</xdr:colOff>
      <xdr:row>12</xdr:row>
      <xdr:rowOff>0</xdr:rowOff>
    </xdr:from>
    <xdr:to>
      <xdr:col>112</xdr:col>
      <xdr:colOff>38100</xdr:colOff>
      <xdr:row>16</xdr:row>
      <xdr:rowOff>19050</xdr:rowOff>
    </xdr:to>
    <xdr:sp macro="" textlink="">
      <xdr:nvSpPr>
        <xdr:cNvPr id="6196" name="AutoShape 52"/>
        <xdr:cNvSpPr>
          <a:spLocks noChangeArrowheads="1"/>
        </xdr:cNvSpPr>
      </xdr:nvSpPr>
      <xdr:spPr bwMode="auto">
        <a:xfrm>
          <a:off x="13220700" y="3228975"/>
          <a:ext cx="685800" cy="1009650"/>
        </a:xfrm>
        <a:prstGeom prst="wedgeEllipseCallout">
          <a:avLst>
            <a:gd name="adj1" fmla="val -95833"/>
            <a:gd name="adj2" fmla="val -49056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潮来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大崎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越谷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その他</a:t>
          </a:r>
        </a:p>
      </xdr:txBody>
    </xdr:sp>
    <xdr:clientData/>
  </xdr:twoCellAnchor>
  <xdr:twoCellAnchor>
    <xdr:from>
      <xdr:col>64</xdr:col>
      <xdr:colOff>28575</xdr:colOff>
      <xdr:row>5</xdr:row>
      <xdr:rowOff>19050</xdr:rowOff>
    </xdr:from>
    <xdr:to>
      <xdr:col>71</xdr:col>
      <xdr:colOff>114300</xdr:colOff>
      <xdr:row>5</xdr:row>
      <xdr:rowOff>238125</xdr:rowOff>
    </xdr:to>
    <xdr:sp macro="" textlink="">
      <xdr:nvSpPr>
        <xdr:cNvPr id="6611" name="Rectangle 53"/>
        <xdr:cNvSpPr>
          <a:spLocks noChangeArrowheads="1"/>
        </xdr:cNvSpPr>
      </xdr:nvSpPr>
      <xdr:spPr bwMode="auto">
        <a:xfrm>
          <a:off x="7953375" y="1514475"/>
          <a:ext cx="952500" cy="2190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50</xdr:col>
      <xdr:colOff>76200</xdr:colOff>
      <xdr:row>5</xdr:row>
      <xdr:rowOff>238125</xdr:rowOff>
    </xdr:from>
    <xdr:to>
      <xdr:col>65</xdr:col>
      <xdr:colOff>28575</xdr:colOff>
      <xdr:row>7</xdr:row>
      <xdr:rowOff>228600</xdr:rowOff>
    </xdr:to>
    <xdr:sp macro="" textlink="">
      <xdr:nvSpPr>
        <xdr:cNvPr id="6198" name="AutoShape 54"/>
        <xdr:cNvSpPr>
          <a:spLocks noChangeArrowheads="1"/>
        </xdr:cNvSpPr>
      </xdr:nvSpPr>
      <xdr:spPr bwMode="auto">
        <a:xfrm>
          <a:off x="6267450" y="1733550"/>
          <a:ext cx="1809750" cy="485775"/>
        </a:xfrm>
        <a:prstGeom prst="wedgeEllipseCallout">
          <a:avLst>
            <a:gd name="adj1" fmla="val 38949"/>
            <a:gd name="adj2" fmla="val -81370"/>
          </a:avLst>
        </a:prstGeom>
        <a:solidFill>
          <a:srgbClr val="FFFFFF">
            <a:alpha val="70000"/>
          </a:srgbClr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ヘリオ・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PS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版・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CTP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ﾃﾞｰﾀ渡し・ﾌｨﾙﾑ刷版</a:t>
          </a:r>
        </a:p>
      </xdr:txBody>
    </xdr:sp>
    <xdr:clientData/>
  </xdr:twoCellAnchor>
  <xdr:twoCellAnchor>
    <xdr:from>
      <xdr:col>85</xdr:col>
      <xdr:colOff>0</xdr:colOff>
      <xdr:row>2</xdr:row>
      <xdr:rowOff>219075</xdr:rowOff>
    </xdr:from>
    <xdr:to>
      <xdr:col>87</xdr:col>
      <xdr:colOff>95250</xdr:colOff>
      <xdr:row>6</xdr:row>
      <xdr:rowOff>238125</xdr:rowOff>
    </xdr:to>
    <xdr:sp macro="" textlink="">
      <xdr:nvSpPr>
        <xdr:cNvPr id="6613" name="Rectangle 55"/>
        <xdr:cNvSpPr>
          <a:spLocks noChangeArrowheads="1"/>
        </xdr:cNvSpPr>
      </xdr:nvSpPr>
      <xdr:spPr bwMode="auto">
        <a:xfrm>
          <a:off x="10525125" y="971550"/>
          <a:ext cx="342900" cy="1009650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89</xdr:col>
      <xdr:colOff>104775</xdr:colOff>
      <xdr:row>4</xdr:row>
      <xdr:rowOff>152400</xdr:rowOff>
    </xdr:from>
    <xdr:to>
      <xdr:col>93</xdr:col>
      <xdr:colOff>95250</xdr:colOff>
      <xdr:row>6</xdr:row>
      <xdr:rowOff>161925</xdr:rowOff>
    </xdr:to>
    <xdr:sp macro="" textlink="">
      <xdr:nvSpPr>
        <xdr:cNvPr id="6200" name="AutoShape 56"/>
        <xdr:cNvSpPr>
          <a:spLocks noChangeArrowheads="1"/>
        </xdr:cNvSpPr>
      </xdr:nvSpPr>
      <xdr:spPr bwMode="auto">
        <a:xfrm>
          <a:off x="11125200" y="1400175"/>
          <a:ext cx="485775" cy="504825"/>
        </a:xfrm>
        <a:prstGeom prst="wedgeEllipseCallout">
          <a:avLst>
            <a:gd name="adj1" fmla="val -81370"/>
            <a:gd name="adj2" fmla="val -2829"/>
          </a:avLst>
        </a:prstGeom>
        <a:solidFill>
          <a:srgbClr val="FFFFFF">
            <a:alpha val="70000"/>
          </a:srgbClr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決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未</a:t>
          </a:r>
        </a:p>
      </xdr:txBody>
    </xdr:sp>
    <xdr:clientData/>
  </xdr:twoCellAnchor>
  <xdr:twoCellAnchor>
    <xdr:from>
      <xdr:col>83</xdr:col>
      <xdr:colOff>19050</xdr:colOff>
      <xdr:row>8</xdr:row>
      <xdr:rowOff>19050</xdr:rowOff>
    </xdr:from>
    <xdr:to>
      <xdr:col>87</xdr:col>
      <xdr:colOff>0</xdr:colOff>
      <xdr:row>17</xdr:row>
      <xdr:rowOff>219075</xdr:rowOff>
    </xdr:to>
    <xdr:sp macro="" textlink="">
      <xdr:nvSpPr>
        <xdr:cNvPr id="6615" name="Rectangle 57"/>
        <xdr:cNvSpPr>
          <a:spLocks noChangeArrowheads="1"/>
        </xdr:cNvSpPr>
      </xdr:nvSpPr>
      <xdr:spPr bwMode="auto">
        <a:xfrm>
          <a:off x="10296525" y="2257425"/>
          <a:ext cx="476250" cy="24288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77</xdr:col>
      <xdr:colOff>38100</xdr:colOff>
      <xdr:row>14</xdr:row>
      <xdr:rowOff>76200</xdr:rowOff>
    </xdr:from>
    <xdr:to>
      <xdr:col>81</xdr:col>
      <xdr:colOff>57150</xdr:colOff>
      <xdr:row>16</xdr:row>
      <xdr:rowOff>123825</xdr:rowOff>
    </xdr:to>
    <xdr:sp macro="" textlink="">
      <xdr:nvSpPr>
        <xdr:cNvPr id="6202" name="AutoShape 58"/>
        <xdr:cNvSpPr>
          <a:spLocks noChangeArrowheads="1"/>
        </xdr:cNvSpPr>
      </xdr:nvSpPr>
      <xdr:spPr bwMode="auto">
        <a:xfrm>
          <a:off x="9572625" y="3800475"/>
          <a:ext cx="514350" cy="542925"/>
        </a:xfrm>
        <a:prstGeom prst="wedgeEllipseCallout">
          <a:avLst>
            <a:gd name="adj1" fmla="val 79630"/>
            <a:gd name="adj2" fmla="val -127194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先方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当方</a:t>
          </a:r>
        </a:p>
      </xdr:txBody>
    </xdr:sp>
    <xdr:clientData/>
  </xdr:twoCellAnchor>
  <xdr:twoCellAnchor>
    <xdr:from>
      <xdr:col>23</xdr:col>
      <xdr:colOff>38100</xdr:colOff>
      <xdr:row>25</xdr:row>
      <xdr:rowOff>28575</xdr:rowOff>
    </xdr:from>
    <xdr:to>
      <xdr:col>27</xdr:col>
      <xdr:colOff>104775</xdr:colOff>
      <xdr:row>31</xdr:row>
      <xdr:rowOff>200025</xdr:rowOff>
    </xdr:to>
    <xdr:sp macro="" textlink="">
      <xdr:nvSpPr>
        <xdr:cNvPr id="6617" name="Rectangle 59"/>
        <xdr:cNvSpPr>
          <a:spLocks noChangeArrowheads="1"/>
        </xdr:cNvSpPr>
      </xdr:nvSpPr>
      <xdr:spPr bwMode="auto">
        <a:xfrm>
          <a:off x="2886075" y="6477000"/>
          <a:ext cx="561975" cy="1657350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47625</xdr:colOff>
      <xdr:row>27</xdr:row>
      <xdr:rowOff>200025</xdr:rowOff>
    </xdr:from>
    <xdr:to>
      <xdr:col>20</xdr:col>
      <xdr:colOff>85725</xdr:colOff>
      <xdr:row>30</xdr:row>
      <xdr:rowOff>47625</xdr:rowOff>
    </xdr:to>
    <xdr:sp macro="" textlink="">
      <xdr:nvSpPr>
        <xdr:cNvPr id="6204" name="AutoShape 60"/>
        <xdr:cNvSpPr>
          <a:spLocks noChangeArrowheads="1"/>
        </xdr:cNvSpPr>
      </xdr:nvSpPr>
      <xdr:spPr bwMode="auto">
        <a:xfrm>
          <a:off x="1905000" y="7143750"/>
          <a:ext cx="657225" cy="590550"/>
        </a:xfrm>
        <a:prstGeom prst="wedgeEllipseCallout">
          <a:avLst>
            <a:gd name="adj1" fmla="val 99273"/>
            <a:gd name="adj2" fmla="val -87097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先方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当方</a:t>
          </a:r>
        </a:p>
      </xdr:txBody>
    </xdr:sp>
    <xdr:clientData/>
  </xdr:twoCellAnchor>
  <xdr:twoCellAnchor>
    <xdr:from>
      <xdr:col>5</xdr:col>
      <xdr:colOff>66675</xdr:colOff>
      <xdr:row>32</xdr:row>
      <xdr:rowOff>57150</xdr:rowOff>
    </xdr:from>
    <xdr:to>
      <xdr:col>12</xdr:col>
      <xdr:colOff>76200</xdr:colOff>
      <xdr:row>33</xdr:row>
      <xdr:rowOff>142875</xdr:rowOff>
    </xdr:to>
    <xdr:sp macro="" textlink="">
      <xdr:nvSpPr>
        <xdr:cNvPr id="6619" name="Rectangle 61"/>
        <xdr:cNvSpPr>
          <a:spLocks noChangeArrowheads="1"/>
        </xdr:cNvSpPr>
      </xdr:nvSpPr>
      <xdr:spPr bwMode="auto">
        <a:xfrm>
          <a:off x="685800" y="8239125"/>
          <a:ext cx="876300" cy="3333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</xdr:colOff>
      <xdr:row>31</xdr:row>
      <xdr:rowOff>161925</xdr:rowOff>
    </xdr:from>
    <xdr:to>
      <xdr:col>22</xdr:col>
      <xdr:colOff>28575</xdr:colOff>
      <xdr:row>32</xdr:row>
      <xdr:rowOff>209550</xdr:rowOff>
    </xdr:to>
    <xdr:sp macro="" textlink="">
      <xdr:nvSpPr>
        <xdr:cNvPr id="6206" name="AutoShape 62"/>
        <xdr:cNvSpPr>
          <a:spLocks noChangeArrowheads="1"/>
        </xdr:cNvSpPr>
      </xdr:nvSpPr>
      <xdr:spPr bwMode="auto">
        <a:xfrm>
          <a:off x="1619250" y="8096250"/>
          <a:ext cx="1133475" cy="295275"/>
        </a:xfrm>
        <a:prstGeom prst="wedgeEllipseCallout">
          <a:avLst>
            <a:gd name="adj1" fmla="val -55042"/>
            <a:gd name="adj2" fmla="val 111292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配本表参照</a:t>
          </a:r>
        </a:p>
      </xdr:txBody>
    </xdr:sp>
    <xdr:clientData/>
  </xdr:twoCellAnchor>
  <xdr:twoCellAnchor>
    <xdr:from>
      <xdr:col>6</xdr:col>
      <xdr:colOff>57150</xdr:colOff>
      <xdr:row>36</xdr:row>
      <xdr:rowOff>47625</xdr:rowOff>
    </xdr:from>
    <xdr:to>
      <xdr:col>11</xdr:col>
      <xdr:colOff>66675</xdr:colOff>
      <xdr:row>38</xdr:row>
      <xdr:rowOff>114300</xdr:rowOff>
    </xdr:to>
    <xdr:sp macro="" textlink="">
      <xdr:nvSpPr>
        <xdr:cNvPr id="6621" name="Rectangle 63"/>
        <xdr:cNvSpPr>
          <a:spLocks noChangeArrowheads="1"/>
        </xdr:cNvSpPr>
      </xdr:nvSpPr>
      <xdr:spPr bwMode="auto">
        <a:xfrm>
          <a:off x="800100" y="9220200"/>
          <a:ext cx="628650" cy="5619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40</xdr:row>
      <xdr:rowOff>28575</xdr:rowOff>
    </xdr:from>
    <xdr:to>
      <xdr:col>17</xdr:col>
      <xdr:colOff>19050</xdr:colOff>
      <xdr:row>41</xdr:row>
      <xdr:rowOff>133350</xdr:rowOff>
    </xdr:to>
    <xdr:sp macro="" textlink="">
      <xdr:nvSpPr>
        <xdr:cNvPr id="6208" name="AutoShape 64"/>
        <xdr:cNvSpPr>
          <a:spLocks noChangeArrowheads="1"/>
        </xdr:cNvSpPr>
      </xdr:nvSpPr>
      <xdr:spPr bwMode="auto">
        <a:xfrm>
          <a:off x="1162050" y="10191750"/>
          <a:ext cx="962025" cy="352425"/>
        </a:xfrm>
        <a:prstGeom prst="wedgeEllipseCallout">
          <a:avLst>
            <a:gd name="adj1" fmla="val -43069"/>
            <a:gd name="adj2" fmla="val -168917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別紙参照</a:t>
          </a:r>
        </a:p>
      </xdr:txBody>
    </xdr:sp>
    <xdr:clientData/>
  </xdr:twoCellAnchor>
  <xdr:twoCellAnchor>
    <xdr:from>
      <xdr:col>58</xdr:col>
      <xdr:colOff>47625</xdr:colOff>
      <xdr:row>19</xdr:row>
      <xdr:rowOff>9525</xdr:rowOff>
    </xdr:from>
    <xdr:to>
      <xdr:col>62</xdr:col>
      <xdr:colOff>66675</xdr:colOff>
      <xdr:row>23</xdr:row>
      <xdr:rowOff>190500</xdr:rowOff>
    </xdr:to>
    <xdr:sp macro="" textlink="">
      <xdr:nvSpPr>
        <xdr:cNvPr id="6623" name="Rectangle 65"/>
        <xdr:cNvSpPr>
          <a:spLocks noChangeArrowheads="1"/>
        </xdr:cNvSpPr>
      </xdr:nvSpPr>
      <xdr:spPr bwMode="auto">
        <a:xfrm>
          <a:off x="7229475" y="4972050"/>
          <a:ext cx="514350" cy="11715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65</xdr:col>
      <xdr:colOff>38100</xdr:colOff>
      <xdr:row>21</xdr:row>
      <xdr:rowOff>38100</xdr:rowOff>
    </xdr:from>
    <xdr:to>
      <xdr:col>69</xdr:col>
      <xdr:colOff>85725</xdr:colOff>
      <xdr:row>23</xdr:row>
      <xdr:rowOff>47625</xdr:rowOff>
    </xdr:to>
    <xdr:sp macro="" textlink="">
      <xdr:nvSpPr>
        <xdr:cNvPr id="6210" name="AutoShape 66"/>
        <xdr:cNvSpPr>
          <a:spLocks noChangeArrowheads="1"/>
        </xdr:cNvSpPr>
      </xdr:nvSpPr>
      <xdr:spPr bwMode="auto">
        <a:xfrm>
          <a:off x="8086725" y="5495925"/>
          <a:ext cx="542925" cy="504825"/>
        </a:xfrm>
        <a:prstGeom prst="wedgeEllipseCallout">
          <a:avLst>
            <a:gd name="adj1" fmla="val -118421"/>
            <a:gd name="adj2" fmla="val -87736"/>
          </a:avLst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先方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当方</a:t>
          </a:r>
        </a:p>
      </xdr:txBody>
    </xdr:sp>
    <xdr:clientData/>
  </xdr:twoCellAnchor>
  <xdr:twoCellAnchor>
    <xdr:from>
      <xdr:col>96</xdr:col>
      <xdr:colOff>114300</xdr:colOff>
      <xdr:row>0</xdr:row>
      <xdr:rowOff>66675</xdr:rowOff>
    </xdr:from>
    <xdr:to>
      <xdr:col>110</xdr:col>
      <xdr:colOff>9525</xdr:colOff>
      <xdr:row>1</xdr:row>
      <xdr:rowOff>342900</xdr:rowOff>
    </xdr:to>
    <xdr:sp macro="" textlink="">
      <xdr:nvSpPr>
        <xdr:cNvPr id="6211" name="AutoShape 67"/>
        <xdr:cNvSpPr>
          <a:spLocks noChangeArrowheads="1"/>
        </xdr:cNvSpPr>
      </xdr:nvSpPr>
      <xdr:spPr bwMode="auto">
        <a:xfrm>
          <a:off x="12001500" y="66675"/>
          <a:ext cx="1628775" cy="523875"/>
        </a:xfrm>
        <a:prstGeom prst="wedgeEllipseCallout">
          <a:avLst>
            <a:gd name="adj1" fmla="val -55264"/>
            <a:gd name="adj2" fmla="val 7545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担当者名を選択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できます</a:t>
          </a:r>
        </a:p>
      </xdr:txBody>
    </xdr:sp>
    <xdr:clientData/>
  </xdr:twoCellAnchor>
  <xdr:twoCellAnchor>
    <xdr:from>
      <xdr:col>90</xdr:col>
      <xdr:colOff>66675</xdr:colOff>
      <xdr:row>1</xdr:row>
      <xdr:rowOff>457200</xdr:rowOff>
    </xdr:from>
    <xdr:to>
      <xdr:col>99</xdr:col>
      <xdr:colOff>104775</xdr:colOff>
      <xdr:row>3</xdr:row>
      <xdr:rowOff>38100</xdr:rowOff>
    </xdr:to>
    <xdr:sp macro="" textlink="">
      <xdr:nvSpPr>
        <xdr:cNvPr id="6626" name="Rectangle 68"/>
        <xdr:cNvSpPr>
          <a:spLocks noChangeArrowheads="1"/>
        </xdr:cNvSpPr>
      </xdr:nvSpPr>
      <xdr:spPr bwMode="auto">
        <a:xfrm>
          <a:off x="11210925" y="704850"/>
          <a:ext cx="1152525" cy="3333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102</xdr:col>
      <xdr:colOff>85725</xdr:colOff>
      <xdr:row>3</xdr:row>
      <xdr:rowOff>180975</xdr:rowOff>
    </xdr:from>
    <xdr:to>
      <xdr:col>106</xdr:col>
      <xdr:colOff>57150</xdr:colOff>
      <xdr:row>5</xdr:row>
      <xdr:rowOff>57150</xdr:rowOff>
    </xdr:to>
    <xdr:sp macro="" textlink="">
      <xdr:nvSpPr>
        <xdr:cNvPr id="6627" name="Rectangle 69"/>
        <xdr:cNvSpPr>
          <a:spLocks noChangeArrowheads="1"/>
        </xdr:cNvSpPr>
      </xdr:nvSpPr>
      <xdr:spPr bwMode="auto">
        <a:xfrm>
          <a:off x="12715875" y="1181100"/>
          <a:ext cx="466725" cy="371475"/>
        </a:xfrm>
        <a:prstGeom prst="rect">
          <a:avLst/>
        </a:prstGeom>
        <a:noFill/>
        <a:ln w="28575" algn="ctr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109</xdr:col>
      <xdr:colOff>114300</xdr:colOff>
      <xdr:row>4</xdr:row>
      <xdr:rowOff>238125</xdr:rowOff>
    </xdr:from>
    <xdr:to>
      <xdr:col>118</xdr:col>
      <xdr:colOff>114300</xdr:colOff>
      <xdr:row>7</xdr:row>
      <xdr:rowOff>19050</xdr:rowOff>
    </xdr:to>
    <xdr:sp macro="" textlink="">
      <xdr:nvSpPr>
        <xdr:cNvPr id="6214" name="AutoShape 70"/>
        <xdr:cNvSpPr>
          <a:spLocks noChangeArrowheads="1"/>
        </xdr:cNvSpPr>
      </xdr:nvSpPr>
      <xdr:spPr bwMode="auto">
        <a:xfrm>
          <a:off x="13611225" y="1485900"/>
          <a:ext cx="1114425" cy="523875"/>
        </a:xfrm>
        <a:prstGeom prst="wedgeEllipseCallout">
          <a:avLst>
            <a:gd name="adj1" fmla="val -83333"/>
            <a:gd name="adj2" fmla="val -3909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締月を選択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できます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E207"/>
  <sheetViews>
    <sheetView tabSelected="1" topLeftCell="A16" zoomScaleNormal="100" workbookViewId="0">
      <selection activeCell="AQ31" sqref="AQ31:DZ31"/>
    </sheetView>
  </sheetViews>
  <sheetFormatPr defaultRowHeight="13.5"/>
  <cols>
    <col min="1" max="150" width="1.625" style="50" customWidth="1"/>
    <col min="151" max="151" width="20.625" style="50" customWidth="1"/>
    <col min="152" max="152" width="3.875" style="50" customWidth="1"/>
    <col min="153" max="156" width="9" style="50"/>
    <col min="157" max="157" width="9" style="50" customWidth="1"/>
    <col min="158" max="158" width="35.5" style="50" bestFit="1" customWidth="1"/>
    <col min="159" max="159" width="17.625" style="50" bestFit="1" customWidth="1"/>
    <col min="160" max="160" width="28" style="50" bestFit="1" customWidth="1"/>
    <col min="161" max="161" width="9.75" style="101" bestFit="1" customWidth="1"/>
    <col min="162" max="16384" width="9" style="50"/>
  </cols>
  <sheetData>
    <row r="1" spans="2:161" ht="39.950000000000003" customHeight="1" thickBot="1">
      <c r="B1" s="49"/>
      <c r="C1" s="49"/>
      <c r="D1" s="424" t="s">
        <v>807</v>
      </c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151" t="s">
        <v>152</v>
      </c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W1" s="51" t="s">
        <v>198</v>
      </c>
      <c r="EX1" s="51" t="s">
        <v>197</v>
      </c>
      <c r="EY1" s="51" t="s">
        <v>2</v>
      </c>
      <c r="FB1" s="94" t="s">
        <v>261</v>
      </c>
      <c r="FC1" s="94" t="s">
        <v>262</v>
      </c>
      <c r="FD1" s="94" t="s">
        <v>263</v>
      </c>
      <c r="FE1" s="98" t="s">
        <v>260</v>
      </c>
    </row>
    <row r="2" spans="2:161" ht="20.100000000000001" customHeight="1" thickBot="1">
      <c r="B2" s="410" t="s">
        <v>1</v>
      </c>
      <c r="C2" s="192"/>
      <c r="D2" s="192"/>
      <c r="E2" s="192"/>
      <c r="F2" s="193"/>
      <c r="G2" s="407" t="s">
        <v>450</v>
      </c>
      <c r="H2" s="408"/>
      <c r="I2" s="408"/>
      <c r="J2" s="408"/>
      <c r="K2" s="408"/>
      <c r="L2" s="409"/>
      <c r="M2" s="409"/>
      <c r="N2" s="409"/>
      <c r="O2" s="409"/>
      <c r="P2" s="409"/>
      <c r="Q2" s="409"/>
      <c r="R2" s="409"/>
      <c r="S2" s="409"/>
      <c r="T2" s="409"/>
      <c r="U2" s="408"/>
      <c r="V2" s="408"/>
      <c r="W2" s="408"/>
      <c r="X2" s="408"/>
      <c r="Y2" s="266" t="s">
        <v>245</v>
      </c>
      <c r="Z2" s="267"/>
      <c r="AA2" s="267"/>
      <c r="AB2" s="267"/>
      <c r="AC2" s="267"/>
      <c r="AD2" s="267"/>
      <c r="AE2" s="267"/>
      <c r="AF2" s="267"/>
      <c r="AG2" s="267"/>
      <c r="AH2" s="268"/>
      <c r="AI2" s="411">
        <f>VLOOKUP(G2,FB2:FE230,4,FALSE)</f>
        <v>4621</v>
      </c>
      <c r="AJ2" s="412"/>
      <c r="AK2" s="412"/>
      <c r="AL2" s="412"/>
      <c r="AM2" s="412"/>
      <c r="AN2" s="412"/>
      <c r="AO2" s="412"/>
      <c r="AP2" s="413"/>
      <c r="AQ2" s="414" t="s">
        <v>0</v>
      </c>
      <c r="AR2" s="414"/>
      <c r="AS2" s="414"/>
      <c r="AT2" s="414"/>
      <c r="AU2" s="415"/>
      <c r="AV2" s="416" t="s">
        <v>788</v>
      </c>
      <c r="AW2" s="417"/>
      <c r="AX2" s="417"/>
      <c r="AY2" s="417"/>
      <c r="AZ2" s="417"/>
      <c r="BA2" s="417"/>
      <c r="BB2" s="417"/>
      <c r="BC2" s="417"/>
      <c r="BD2" s="417"/>
      <c r="BE2" s="417"/>
      <c r="BF2" s="417"/>
      <c r="BG2" s="417"/>
      <c r="BH2" s="417"/>
      <c r="BI2" s="417"/>
      <c r="BJ2" s="417"/>
      <c r="BK2" s="417"/>
      <c r="BL2" s="417"/>
      <c r="BM2" s="417"/>
      <c r="BN2" s="417"/>
      <c r="BO2" s="417"/>
      <c r="BP2" s="417"/>
      <c r="BQ2" s="418"/>
      <c r="BR2" s="419" t="s">
        <v>13</v>
      </c>
      <c r="BS2" s="414"/>
      <c r="BT2" s="414"/>
      <c r="BU2" s="414"/>
      <c r="BV2" s="415"/>
      <c r="BW2" s="411" t="s">
        <v>804</v>
      </c>
      <c r="BX2" s="412"/>
      <c r="BY2" s="412"/>
      <c r="BZ2" s="412"/>
      <c r="CA2" s="412"/>
      <c r="CB2" s="412"/>
      <c r="CC2" s="412"/>
      <c r="CD2" s="412"/>
      <c r="CE2" s="412"/>
      <c r="CF2" s="412"/>
      <c r="CG2" s="412"/>
      <c r="CH2" s="413"/>
      <c r="CI2" s="420" t="s">
        <v>2</v>
      </c>
      <c r="CJ2" s="421"/>
      <c r="CK2" s="422"/>
      <c r="CL2" s="422"/>
      <c r="CM2" s="423"/>
      <c r="CN2" s="464" t="s">
        <v>789</v>
      </c>
      <c r="CO2" s="412"/>
      <c r="CP2" s="412"/>
      <c r="CQ2" s="412"/>
      <c r="CR2" s="412"/>
      <c r="CS2" s="412"/>
      <c r="CT2" s="412"/>
      <c r="CU2" s="413"/>
      <c r="CV2" s="52"/>
      <c r="CW2" s="53"/>
      <c r="CX2" s="53"/>
      <c r="CY2" s="53"/>
      <c r="CZ2" s="54"/>
      <c r="DA2" s="465" t="s">
        <v>250</v>
      </c>
      <c r="DB2" s="414"/>
      <c r="DC2" s="414"/>
      <c r="DD2" s="414"/>
      <c r="DE2" s="415"/>
      <c r="DF2" s="466">
        <v>42374</v>
      </c>
      <c r="DG2" s="467"/>
      <c r="DH2" s="467"/>
      <c r="DI2" s="467"/>
      <c r="DJ2" s="467"/>
      <c r="DK2" s="467"/>
      <c r="DL2" s="467"/>
      <c r="DM2" s="468"/>
      <c r="DN2" s="419" t="s">
        <v>49</v>
      </c>
      <c r="DO2" s="414"/>
      <c r="DP2" s="414"/>
      <c r="DQ2" s="414"/>
      <c r="DR2" s="415"/>
      <c r="DS2" s="404">
        <v>4</v>
      </c>
      <c r="DT2" s="405"/>
      <c r="DU2" s="405"/>
      <c r="DV2" s="405"/>
      <c r="DW2" s="405"/>
      <c r="DX2" s="405"/>
      <c r="DY2" s="405"/>
      <c r="DZ2" s="406"/>
      <c r="EY2" s="78"/>
      <c r="FB2" s="94" t="s">
        <v>264</v>
      </c>
      <c r="FC2" s="94" t="s">
        <v>265</v>
      </c>
      <c r="FD2" s="94" t="s">
        <v>266</v>
      </c>
      <c r="FE2" s="98" t="s">
        <v>738</v>
      </c>
    </row>
    <row r="3" spans="2:161" ht="20.100000000000001" customHeight="1" thickBot="1">
      <c r="B3" s="383" t="s">
        <v>3</v>
      </c>
      <c r="C3" s="384"/>
      <c r="D3" s="384"/>
      <c r="E3" s="384"/>
      <c r="F3" s="384"/>
      <c r="G3" s="384"/>
      <c r="H3" s="384"/>
      <c r="I3" s="384"/>
      <c r="J3" s="384"/>
      <c r="K3" s="385"/>
      <c r="L3" s="265" t="s">
        <v>790</v>
      </c>
      <c r="M3" s="265"/>
      <c r="N3" s="265"/>
      <c r="O3" s="265"/>
      <c r="P3" s="265"/>
      <c r="Q3" s="265"/>
      <c r="R3" s="265"/>
      <c r="S3" s="265"/>
      <c r="T3" s="265"/>
      <c r="U3" s="266" t="s">
        <v>246</v>
      </c>
      <c r="V3" s="267"/>
      <c r="W3" s="267"/>
      <c r="X3" s="267"/>
      <c r="Y3" s="267"/>
      <c r="Z3" s="267"/>
      <c r="AA3" s="267"/>
      <c r="AB3" s="267"/>
      <c r="AC3" s="267"/>
      <c r="AD3" s="268"/>
      <c r="AE3" s="265">
        <v>1600353</v>
      </c>
      <c r="AF3" s="386"/>
      <c r="AG3" s="386"/>
      <c r="AH3" s="386"/>
      <c r="AI3" s="386"/>
      <c r="AJ3" s="386"/>
      <c r="AK3" s="386"/>
      <c r="AL3" s="386"/>
      <c r="AM3" s="81"/>
      <c r="AN3" s="82"/>
      <c r="AO3" s="83"/>
      <c r="AP3" s="84"/>
      <c r="AQ3" s="84"/>
      <c r="AR3" s="84"/>
      <c r="AS3" s="83"/>
      <c r="AT3" s="85"/>
      <c r="AU3" s="84"/>
      <c r="AV3" s="84"/>
      <c r="AW3" s="86"/>
      <c r="AX3" s="86"/>
      <c r="AY3" s="86"/>
      <c r="AZ3" s="86"/>
      <c r="BA3" s="86"/>
      <c r="BB3" s="87"/>
      <c r="BC3" s="87"/>
      <c r="BD3" s="87"/>
      <c r="BE3" s="87"/>
      <c r="BF3" s="88"/>
      <c r="BG3" s="88"/>
      <c r="BH3" s="88"/>
      <c r="BI3" s="88"/>
      <c r="BJ3" s="88"/>
      <c r="BK3" s="88"/>
      <c r="BL3" s="88"/>
      <c r="BM3" s="82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104"/>
      <c r="BZ3" s="104"/>
      <c r="CA3" s="104"/>
      <c r="CB3" s="104"/>
      <c r="CC3" s="105"/>
      <c r="CD3" s="105"/>
      <c r="CE3" s="105"/>
      <c r="CF3" s="105"/>
      <c r="CG3" s="105"/>
      <c r="CH3" s="105"/>
      <c r="CI3" s="105"/>
      <c r="CJ3" s="105"/>
      <c r="CK3" s="105"/>
      <c r="CL3" s="104"/>
      <c r="CM3" s="93"/>
      <c r="CN3" s="83"/>
      <c r="CO3" s="90"/>
      <c r="CP3" s="91"/>
      <c r="CQ3" s="91"/>
      <c r="CR3" s="91"/>
      <c r="CS3" s="91"/>
      <c r="CT3" s="91"/>
      <c r="CU3" s="91"/>
      <c r="CV3" s="91"/>
      <c r="CW3" s="91"/>
      <c r="CX3" s="93"/>
      <c r="CY3" s="83"/>
      <c r="CZ3" s="90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89"/>
      <c r="DW3" s="89"/>
      <c r="DX3" s="89"/>
      <c r="DY3" s="93"/>
      <c r="DZ3" s="92"/>
      <c r="EU3" s="50" t="s">
        <v>152</v>
      </c>
      <c r="EW3" s="50" t="s">
        <v>106</v>
      </c>
      <c r="EX3" s="50" t="s">
        <v>147</v>
      </c>
      <c r="EY3" s="78" t="s">
        <v>153</v>
      </c>
      <c r="FB3" s="94" t="s">
        <v>267</v>
      </c>
      <c r="FC3" s="94" t="s">
        <v>267</v>
      </c>
      <c r="FD3" s="94" t="s">
        <v>268</v>
      </c>
      <c r="FE3" s="98" t="s">
        <v>739</v>
      </c>
    </row>
    <row r="4" spans="2:161" ht="20.100000000000001" customHeight="1" thickTop="1">
      <c r="B4" s="162" t="s">
        <v>12</v>
      </c>
      <c r="C4" s="163"/>
      <c r="D4" s="163"/>
      <c r="E4" s="163"/>
      <c r="F4" s="164"/>
      <c r="G4" s="55"/>
      <c r="H4" s="56"/>
      <c r="I4" s="57"/>
      <c r="J4" s="58"/>
      <c r="K4" s="58"/>
      <c r="L4" s="58"/>
      <c r="M4" s="275" t="s">
        <v>14</v>
      </c>
      <c r="N4" s="276"/>
      <c r="O4" s="276"/>
      <c r="P4" s="276"/>
      <c r="Q4" s="271"/>
      <c r="R4" s="271"/>
      <c r="S4" s="276" t="s">
        <v>15</v>
      </c>
      <c r="T4" s="370"/>
      <c r="U4" s="276"/>
      <c r="V4" s="369"/>
      <c r="W4" s="58"/>
      <c r="X4" s="56"/>
      <c r="Y4" s="56"/>
      <c r="Z4" s="56"/>
      <c r="AA4" s="80"/>
      <c r="AB4" s="80"/>
      <c r="AC4" s="80"/>
      <c r="AD4" s="278"/>
      <c r="AE4" s="382"/>
      <c r="AF4" s="382"/>
      <c r="AG4" s="382"/>
      <c r="AH4" s="382"/>
      <c r="AI4" s="382"/>
      <c r="AJ4" s="382"/>
      <c r="AK4" s="382"/>
      <c r="AL4" s="382"/>
      <c r="AM4" s="382"/>
      <c r="AN4" s="382"/>
      <c r="AO4" s="382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60"/>
      <c r="BG4" s="461" t="s">
        <v>39</v>
      </c>
      <c r="BH4" s="462"/>
      <c r="BI4" s="462"/>
      <c r="BJ4" s="462"/>
      <c r="BK4" s="462"/>
      <c r="BL4" s="462"/>
      <c r="BM4" s="463"/>
      <c r="BN4" s="463"/>
      <c r="BO4" s="397" t="s">
        <v>82</v>
      </c>
      <c r="BP4" s="398"/>
      <c r="BQ4" s="398"/>
      <c r="BR4" s="398"/>
      <c r="BS4" s="398"/>
      <c r="BT4" s="398"/>
      <c r="BU4" s="398"/>
      <c r="BV4" s="399"/>
      <c r="BW4" s="61"/>
      <c r="BX4" s="58"/>
      <c r="BY4" s="387" t="s">
        <v>56</v>
      </c>
      <c r="BZ4" s="388"/>
      <c r="CA4" s="388"/>
      <c r="CB4" s="388"/>
      <c r="CC4" s="389"/>
      <c r="CD4" s="173">
        <v>165000</v>
      </c>
      <c r="CE4" s="174"/>
      <c r="CF4" s="174"/>
      <c r="CG4" s="174"/>
      <c r="CH4" s="174"/>
      <c r="CI4" s="175"/>
      <c r="CJ4" s="112" t="s">
        <v>793</v>
      </c>
      <c r="CK4" s="113"/>
      <c r="CL4" s="114"/>
      <c r="CM4" s="61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275" t="s">
        <v>68</v>
      </c>
      <c r="DO4" s="276"/>
      <c r="DP4" s="276"/>
      <c r="DQ4" s="276"/>
      <c r="DR4" s="369"/>
      <c r="DS4" s="362" t="s">
        <v>806</v>
      </c>
      <c r="DT4" s="363"/>
      <c r="DU4" s="363"/>
      <c r="DV4" s="363"/>
      <c r="DW4" s="363"/>
      <c r="DX4" s="363"/>
      <c r="DY4" s="363"/>
      <c r="DZ4" s="364"/>
      <c r="EU4" s="50" t="s">
        <v>136</v>
      </c>
      <c r="EW4" s="50" t="s">
        <v>146</v>
      </c>
      <c r="EX4" s="50" t="s">
        <v>113</v>
      </c>
      <c r="EY4" s="78" t="s">
        <v>231</v>
      </c>
      <c r="FB4" s="94" t="s">
        <v>269</v>
      </c>
      <c r="FC4" s="94" t="s">
        <v>270</v>
      </c>
      <c r="FD4" s="94" t="s">
        <v>271</v>
      </c>
      <c r="FE4" s="98">
        <v>1698</v>
      </c>
    </row>
    <row r="5" spans="2:161" ht="20.100000000000001" customHeight="1">
      <c r="B5" s="165"/>
      <c r="C5" s="166"/>
      <c r="D5" s="166"/>
      <c r="E5" s="166"/>
      <c r="F5" s="167"/>
      <c r="G5" s="272" t="s">
        <v>7</v>
      </c>
      <c r="H5" s="273"/>
      <c r="I5" s="273"/>
      <c r="J5" s="273"/>
      <c r="K5" s="273"/>
      <c r="L5" s="274"/>
      <c r="M5" s="269">
        <v>303</v>
      </c>
      <c r="N5" s="270"/>
      <c r="O5" s="270"/>
      <c r="P5" s="270"/>
      <c r="Q5" s="277" t="s">
        <v>51</v>
      </c>
      <c r="R5" s="277"/>
      <c r="S5" s="270">
        <v>238</v>
      </c>
      <c r="T5" s="270"/>
      <c r="U5" s="270"/>
      <c r="V5" s="403"/>
      <c r="W5" s="58"/>
      <c r="X5" s="278"/>
      <c r="Y5" s="278"/>
      <c r="Z5" s="278"/>
      <c r="AA5" s="278"/>
      <c r="AB5" s="278"/>
      <c r="AC5" s="279"/>
      <c r="AD5" s="153" t="s">
        <v>16</v>
      </c>
      <c r="AE5" s="153"/>
      <c r="AF5" s="153"/>
      <c r="AG5" s="153" t="s">
        <v>17</v>
      </c>
      <c r="AH5" s="153"/>
      <c r="AI5" s="153"/>
      <c r="AJ5" s="153" t="s">
        <v>18</v>
      </c>
      <c r="AK5" s="153"/>
      <c r="AL5" s="153"/>
      <c r="AM5" s="153" t="s">
        <v>50</v>
      </c>
      <c r="AN5" s="153"/>
      <c r="AO5" s="153"/>
      <c r="AP5" s="58"/>
      <c r="AQ5" s="171" t="s">
        <v>36</v>
      </c>
      <c r="AR5" s="155"/>
      <c r="AS5" s="155"/>
      <c r="AT5" s="155"/>
      <c r="AU5" s="156"/>
      <c r="AV5" s="115" t="s">
        <v>80</v>
      </c>
      <c r="AW5" s="116"/>
      <c r="AX5" s="116"/>
      <c r="AY5" s="115" t="s">
        <v>150</v>
      </c>
      <c r="AZ5" s="116"/>
      <c r="BA5" s="116"/>
      <c r="BB5" s="116"/>
      <c r="BC5" s="116"/>
      <c r="BD5" s="172"/>
      <c r="BE5" s="58"/>
      <c r="BF5" s="60"/>
      <c r="BG5" s="393" t="s">
        <v>251</v>
      </c>
      <c r="BH5" s="394"/>
      <c r="BI5" s="394"/>
      <c r="BJ5" s="394"/>
      <c r="BK5" s="394"/>
      <c r="BL5" s="395" t="s">
        <v>252</v>
      </c>
      <c r="BM5" s="396"/>
      <c r="BN5" s="396"/>
      <c r="BO5" s="397"/>
      <c r="BP5" s="398"/>
      <c r="BQ5" s="398"/>
      <c r="BR5" s="398"/>
      <c r="BS5" s="398"/>
      <c r="BT5" s="398"/>
      <c r="BU5" s="398"/>
      <c r="BV5" s="399"/>
      <c r="BW5" s="61"/>
      <c r="BX5" s="58"/>
      <c r="BY5" s="152" t="s">
        <v>57</v>
      </c>
      <c r="BZ5" s="153"/>
      <c r="CA5" s="153"/>
      <c r="CB5" s="153"/>
      <c r="CC5" s="153"/>
      <c r="CD5" s="137">
        <v>3000</v>
      </c>
      <c r="CE5" s="138"/>
      <c r="CF5" s="138"/>
      <c r="CG5" s="138"/>
      <c r="CH5" s="138"/>
      <c r="CI5" s="139"/>
      <c r="CJ5" s="115" t="s">
        <v>793</v>
      </c>
      <c r="CK5" s="116"/>
      <c r="CL5" s="117"/>
      <c r="CM5" s="61"/>
      <c r="CN5" s="58"/>
      <c r="CO5" s="58"/>
      <c r="CP5" s="58"/>
      <c r="CQ5" s="58"/>
      <c r="CR5" s="58"/>
      <c r="CS5" s="58"/>
      <c r="CT5" s="58"/>
      <c r="CU5" s="58"/>
      <c r="CV5" s="392" t="s">
        <v>222</v>
      </c>
      <c r="CW5" s="392"/>
      <c r="CX5" s="392"/>
      <c r="CY5" s="392"/>
      <c r="CZ5" s="390">
        <v>1</v>
      </c>
      <c r="DA5" s="390"/>
      <c r="DB5" s="390"/>
      <c r="DC5" s="391" t="s">
        <v>194</v>
      </c>
      <c r="DD5" s="391"/>
      <c r="DE5" s="391"/>
      <c r="DF5" s="391"/>
      <c r="DG5" s="391"/>
      <c r="DH5" s="62"/>
      <c r="DI5" s="62"/>
      <c r="DJ5" s="62"/>
      <c r="DK5" s="58"/>
      <c r="DL5" s="58"/>
      <c r="DM5" s="58"/>
      <c r="DN5" s="171" t="s">
        <v>68</v>
      </c>
      <c r="DO5" s="155"/>
      <c r="DP5" s="155"/>
      <c r="DQ5" s="155"/>
      <c r="DR5" s="156"/>
      <c r="DS5" s="365"/>
      <c r="DT5" s="366"/>
      <c r="DU5" s="366"/>
      <c r="DV5" s="366"/>
      <c r="DW5" s="366"/>
      <c r="DX5" s="366"/>
      <c r="DY5" s="366"/>
      <c r="DZ5" s="367"/>
      <c r="EU5" s="50" t="s">
        <v>80</v>
      </c>
      <c r="EW5" s="50" t="s">
        <v>196</v>
      </c>
      <c r="EX5" s="50" t="s">
        <v>111</v>
      </c>
      <c r="EY5" s="78" t="s">
        <v>230</v>
      </c>
      <c r="FB5" s="94" t="s">
        <v>272</v>
      </c>
      <c r="FC5" s="94" t="s">
        <v>273</v>
      </c>
      <c r="FD5" s="94" t="s">
        <v>274</v>
      </c>
      <c r="FE5" s="98" t="s">
        <v>740</v>
      </c>
    </row>
    <row r="6" spans="2:161" ht="20.100000000000001" customHeight="1" thickBot="1">
      <c r="B6" s="165"/>
      <c r="C6" s="166"/>
      <c r="D6" s="166"/>
      <c r="E6" s="166"/>
      <c r="F6" s="167"/>
      <c r="G6" s="272" t="s">
        <v>8</v>
      </c>
      <c r="H6" s="155"/>
      <c r="I6" s="155"/>
      <c r="J6" s="273"/>
      <c r="K6" s="273"/>
      <c r="L6" s="274"/>
      <c r="M6" s="115">
        <v>297</v>
      </c>
      <c r="N6" s="116"/>
      <c r="O6" s="116"/>
      <c r="P6" s="116"/>
      <c r="Q6" s="402" t="s">
        <v>52</v>
      </c>
      <c r="R6" s="402"/>
      <c r="S6" s="116">
        <v>232</v>
      </c>
      <c r="T6" s="116"/>
      <c r="U6" s="116"/>
      <c r="V6" s="172"/>
      <c r="W6" s="58"/>
      <c r="X6" s="171" t="s">
        <v>9</v>
      </c>
      <c r="Y6" s="155"/>
      <c r="Z6" s="155"/>
      <c r="AA6" s="155"/>
      <c r="AB6" s="155"/>
      <c r="AC6" s="156"/>
      <c r="AD6" s="115">
        <v>3</v>
      </c>
      <c r="AE6" s="116"/>
      <c r="AF6" s="172"/>
      <c r="AG6" s="115">
        <v>3</v>
      </c>
      <c r="AH6" s="116"/>
      <c r="AI6" s="172"/>
      <c r="AJ6" s="115">
        <v>3</v>
      </c>
      <c r="AK6" s="116"/>
      <c r="AL6" s="172"/>
      <c r="AM6" s="115">
        <v>3</v>
      </c>
      <c r="AN6" s="116"/>
      <c r="AO6" s="172"/>
      <c r="AP6" s="58"/>
      <c r="AQ6" s="176" t="s">
        <v>37</v>
      </c>
      <c r="AR6" s="176"/>
      <c r="AS6" s="176"/>
      <c r="AT6" s="176"/>
      <c r="AU6" s="176"/>
      <c r="AV6" s="177">
        <v>3</v>
      </c>
      <c r="AW6" s="178"/>
      <c r="AX6" s="179"/>
      <c r="AY6" s="180" t="s">
        <v>38</v>
      </c>
      <c r="AZ6" s="181"/>
      <c r="BA6" s="181"/>
      <c r="BB6" s="181"/>
      <c r="BC6" s="181"/>
      <c r="BD6" s="182"/>
      <c r="BE6" s="58"/>
      <c r="BF6" s="60"/>
      <c r="BG6" s="394"/>
      <c r="BH6" s="394"/>
      <c r="BI6" s="394"/>
      <c r="BJ6" s="394"/>
      <c r="BK6" s="394"/>
      <c r="BL6" s="395" t="s">
        <v>253</v>
      </c>
      <c r="BM6" s="396"/>
      <c r="BN6" s="396"/>
      <c r="BO6" s="400" t="s">
        <v>791</v>
      </c>
      <c r="BP6" s="250"/>
      <c r="BQ6" s="250"/>
      <c r="BR6" s="250"/>
      <c r="BS6" s="250"/>
      <c r="BT6" s="250"/>
      <c r="BU6" s="250"/>
      <c r="BV6" s="401"/>
      <c r="BW6" s="61"/>
      <c r="BX6" s="58"/>
      <c r="BY6" s="154" t="s">
        <v>58</v>
      </c>
      <c r="BZ6" s="155"/>
      <c r="CA6" s="155"/>
      <c r="CB6" s="155"/>
      <c r="CC6" s="156"/>
      <c r="CD6" s="137">
        <v>2500</v>
      </c>
      <c r="CE6" s="138"/>
      <c r="CF6" s="138"/>
      <c r="CG6" s="138"/>
      <c r="CH6" s="138"/>
      <c r="CI6" s="139"/>
      <c r="CJ6" s="115" t="s">
        <v>793</v>
      </c>
      <c r="CK6" s="116"/>
      <c r="CL6" s="117"/>
      <c r="CM6" s="61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8"/>
      <c r="DL6" s="58"/>
      <c r="DM6" s="58"/>
      <c r="DN6" s="171" t="s">
        <v>68</v>
      </c>
      <c r="DO6" s="155"/>
      <c r="DP6" s="155"/>
      <c r="DQ6" s="155"/>
      <c r="DR6" s="156"/>
      <c r="DS6" s="365"/>
      <c r="DT6" s="366"/>
      <c r="DU6" s="366"/>
      <c r="DV6" s="366"/>
      <c r="DW6" s="366"/>
      <c r="DX6" s="366"/>
      <c r="DY6" s="366"/>
      <c r="DZ6" s="367"/>
      <c r="EU6" s="50" t="s">
        <v>137</v>
      </c>
      <c r="EX6" s="50" t="s">
        <v>148</v>
      </c>
      <c r="EY6" s="78"/>
      <c r="FB6" s="94" t="s">
        <v>275</v>
      </c>
      <c r="FC6" s="94" t="s">
        <v>275</v>
      </c>
      <c r="FD6" s="94" t="s">
        <v>276</v>
      </c>
      <c r="FE6" s="98" t="s">
        <v>741</v>
      </c>
    </row>
    <row r="7" spans="2:161" ht="20.100000000000001" customHeight="1" thickBot="1">
      <c r="B7" s="168"/>
      <c r="C7" s="169"/>
      <c r="D7" s="169"/>
      <c r="E7" s="169"/>
      <c r="F7" s="170"/>
      <c r="G7" s="63"/>
      <c r="H7" s="59"/>
      <c r="I7" s="59"/>
      <c r="J7" s="64"/>
      <c r="K7" s="64"/>
      <c r="L7" s="64"/>
      <c r="M7" s="56"/>
      <c r="N7" s="56"/>
      <c r="O7" s="56"/>
      <c r="P7" s="56"/>
      <c r="Q7" s="56"/>
      <c r="R7" s="56"/>
      <c r="S7" s="56"/>
      <c r="T7" s="56"/>
      <c r="U7" s="56"/>
      <c r="V7" s="56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8"/>
      <c r="BF7" s="65"/>
      <c r="BG7" s="377" t="s">
        <v>11</v>
      </c>
      <c r="BH7" s="378"/>
      <c r="BI7" s="378"/>
      <c r="BJ7" s="378"/>
      <c r="BK7" s="378"/>
      <c r="BL7" s="378"/>
      <c r="BM7" s="379"/>
      <c r="BN7" s="379"/>
      <c r="BO7" s="374" t="s">
        <v>792</v>
      </c>
      <c r="BP7" s="375"/>
      <c r="BQ7" s="375"/>
      <c r="BR7" s="375"/>
      <c r="BS7" s="375"/>
      <c r="BT7" s="375"/>
      <c r="BU7" s="375"/>
      <c r="BV7" s="376"/>
      <c r="BW7" s="66"/>
      <c r="BX7" s="58"/>
      <c r="BY7" s="157" t="s">
        <v>59</v>
      </c>
      <c r="BZ7" s="158"/>
      <c r="CA7" s="158"/>
      <c r="CB7" s="158"/>
      <c r="CC7" s="158"/>
      <c r="CD7" s="140">
        <v>1500</v>
      </c>
      <c r="CE7" s="141"/>
      <c r="CF7" s="141"/>
      <c r="CG7" s="141"/>
      <c r="CH7" s="141"/>
      <c r="CI7" s="142"/>
      <c r="CJ7" s="118" t="s">
        <v>793</v>
      </c>
      <c r="CK7" s="119"/>
      <c r="CL7" s="120"/>
      <c r="CM7" s="66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180" t="s">
        <v>68</v>
      </c>
      <c r="DO7" s="181"/>
      <c r="DP7" s="181"/>
      <c r="DQ7" s="181"/>
      <c r="DR7" s="182"/>
      <c r="DS7" s="368"/>
      <c r="DT7" s="110"/>
      <c r="DU7" s="110"/>
      <c r="DV7" s="110"/>
      <c r="DW7" s="110"/>
      <c r="DX7" s="110"/>
      <c r="DY7" s="110"/>
      <c r="DZ7" s="111"/>
      <c r="EU7" s="50" t="s">
        <v>138</v>
      </c>
      <c r="EY7" s="78" t="s">
        <v>232</v>
      </c>
      <c r="FB7" s="94" t="s">
        <v>277</v>
      </c>
      <c r="FC7" s="94" t="s">
        <v>277</v>
      </c>
      <c r="FD7" s="94" t="s">
        <v>278</v>
      </c>
      <c r="FE7" s="98" t="s">
        <v>742</v>
      </c>
    </row>
    <row r="8" spans="2:161" ht="20.100000000000001" customHeight="1" thickBot="1">
      <c r="B8" s="162" t="s">
        <v>25</v>
      </c>
      <c r="C8" s="163"/>
      <c r="D8" s="163"/>
      <c r="E8" s="163"/>
      <c r="F8" s="164"/>
      <c r="G8" s="255" t="s">
        <v>20</v>
      </c>
      <c r="H8" s="247"/>
      <c r="I8" s="247"/>
      <c r="J8" s="256"/>
      <c r="K8" s="245" t="s">
        <v>19</v>
      </c>
      <c r="L8" s="245"/>
      <c r="M8" s="245"/>
      <c r="N8" s="245"/>
      <c r="O8" s="245" t="s">
        <v>21</v>
      </c>
      <c r="P8" s="245"/>
      <c r="Q8" s="245"/>
      <c r="R8" s="245"/>
      <c r="S8" s="245" t="s">
        <v>22</v>
      </c>
      <c r="T8" s="245"/>
      <c r="U8" s="245"/>
      <c r="V8" s="245"/>
      <c r="W8" s="245"/>
      <c r="X8" s="245"/>
      <c r="Y8" s="245"/>
      <c r="Z8" s="254" t="s">
        <v>6</v>
      </c>
      <c r="AA8" s="257"/>
      <c r="AB8" s="257"/>
      <c r="AC8" s="257"/>
      <c r="AD8" s="257"/>
      <c r="AE8" s="257"/>
      <c r="AF8" s="257"/>
      <c r="AG8" s="245" t="s">
        <v>24</v>
      </c>
      <c r="AH8" s="245"/>
      <c r="AI8" s="245"/>
      <c r="AJ8" s="245"/>
      <c r="AK8" s="245" t="s">
        <v>23</v>
      </c>
      <c r="AL8" s="245"/>
      <c r="AM8" s="245"/>
      <c r="AN8" s="245"/>
      <c r="AO8" s="245"/>
      <c r="AP8" s="245"/>
      <c r="AQ8" s="245"/>
      <c r="AR8" s="245"/>
      <c r="AS8" s="251" t="s">
        <v>26</v>
      </c>
      <c r="AT8" s="370"/>
      <c r="AU8" s="370"/>
      <c r="AV8" s="370"/>
      <c r="AW8" s="370"/>
      <c r="AX8" s="371"/>
      <c r="AY8" s="251" t="s">
        <v>27</v>
      </c>
      <c r="AZ8" s="372"/>
      <c r="BA8" s="372"/>
      <c r="BB8" s="372"/>
      <c r="BC8" s="372"/>
      <c r="BD8" s="372"/>
      <c r="BE8" s="372"/>
      <c r="BF8" s="372"/>
      <c r="BG8" s="373"/>
      <c r="BH8" s="251" t="s">
        <v>199</v>
      </c>
      <c r="BI8" s="370"/>
      <c r="BJ8" s="371"/>
      <c r="BK8" s="253" t="s">
        <v>53</v>
      </c>
      <c r="BL8" s="253"/>
      <c r="BM8" s="254"/>
      <c r="BN8" s="254"/>
      <c r="BO8" s="254"/>
      <c r="BP8" s="254"/>
      <c r="BQ8" s="254"/>
      <c r="BR8" s="254"/>
      <c r="BS8" s="254"/>
      <c r="BT8" s="254" t="s">
        <v>30</v>
      </c>
      <c r="BU8" s="254"/>
      <c r="BV8" s="254"/>
      <c r="BW8" s="254"/>
      <c r="BX8" s="254" t="s">
        <v>31</v>
      </c>
      <c r="BY8" s="253"/>
      <c r="BZ8" s="253"/>
      <c r="CA8" s="253"/>
      <c r="CB8" s="253" t="s">
        <v>28</v>
      </c>
      <c r="CC8" s="380"/>
      <c r="CD8" s="380"/>
      <c r="CE8" s="380"/>
      <c r="CF8" s="253" t="s">
        <v>29</v>
      </c>
      <c r="CG8" s="253"/>
      <c r="CH8" s="253"/>
      <c r="CI8" s="253"/>
      <c r="CJ8" s="253"/>
      <c r="CK8" s="253"/>
      <c r="CL8" s="253"/>
      <c r="CM8" s="254"/>
      <c r="CN8" s="254"/>
      <c r="CO8" s="254"/>
      <c r="CP8" s="254"/>
      <c r="CQ8" s="245" t="s">
        <v>32</v>
      </c>
      <c r="CR8" s="245"/>
      <c r="CS8" s="245"/>
      <c r="CT8" s="245"/>
      <c r="CU8" s="245"/>
      <c r="CV8" s="245"/>
      <c r="CW8" s="245" t="s">
        <v>33</v>
      </c>
      <c r="CX8" s="245"/>
      <c r="CY8" s="245"/>
      <c r="CZ8" s="245"/>
      <c r="DA8" s="245"/>
      <c r="DB8" s="245"/>
      <c r="DC8" s="245"/>
      <c r="DD8" s="245"/>
      <c r="DE8" s="245"/>
      <c r="DF8" s="251"/>
      <c r="DG8" s="252" t="s">
        <v>35</v>
      </c>
      <c r="DH8" s="245"/>
      <c r="DI8" s="245"/>
      <c r="DJ8" s="245"/>
      <c r="DK8" s="245"/>
      <c r="DL8" s="245" t="s">
        <v>34</v>
      </c>
      <c r="DM8" s="245"/>
      <c r="DN8" s="245"/>
      <c r="DO8" s="245"/>
      <c r="DP8" s="245"/>
      <c r="DQ8" s="245" t="s">
        <v>4</v>
      </c>
      <c r="DR8" s="245"/>
      <c r="DS8" s="245"/>
      <c r="DT8" s="245"/>
      <c r="DU8" s="245"/>
      <c r="DV8" s="246" t="s">
        <v>5</v>
      </c>
      <c r="DW8" s="247"/>
      <c r="DX8" s="247"/>
      <c r="DY8" s="247"/>
      <c r="DZ8" s="248"/>
      <c r="EU8" s="50" t="s">
        <v>150</v>
      </c>
      <c r="EY8" s="78" t="s">
        <v>233</v>
      </c>
      <c r="FB8" s="94" t="s">
        <v>279</v>
      </c>
      <c r="FC8" s="94" t="s">
        <v>279</v>
      </c>
      <c r="FD8" s="94" t="s">
        <v>280</v>
      </c>
      <c r="FE8" s="98" t="s">
        <v>743</v>
      </c>
    </row>
    <row r="9" spans="2:161" s="69" customFormat="1" ht="20.100000000000001" customHeight="1" thickTop="1">
      <c r="B9" s="165"/>
      <c r="C9" s="166"/>
      <c r="D9" s="166"/>
      <c r="E9" s="166"/>
      <c r="F9" s="167"/>
      <c r="G9" s="249" t="s">
        <v>801</v>
      </c>
      <c r="H9" s="250"/>
      <c r="I9" s="250"/>
      <c r="J9" s="250"/>
      <c r="K9" s="228" t="s">
        <v>796</v>
      </c>
      <c r="L9" s="237"/>
      <c r="M9" s="237"/>
      <c r="N9" s="237"/>
      <c r="O9" s="237">
        <v>16</v>
      </c>
      <c r="P9" s="237"/>
      <c r="Q9" s="237"/>
      <c r="R9" s="102" t="s">
        <v>223</v>
      </c>
      <c r="S9" s="237">
        <v>4</v>
      </c>
      <c r="T9" s="237"/>
      <c r="U9" s="102" t="s">
        <v>224</v>
      </c>
      <c r="V9" s="67" t="s">
        <v>227</v>
      </c>
      <c r="W9" s="236">
        <v>4</v>
      </c>
      <c r="X9" s="236"/>
      <c r="Y9" s="102" t="s">
        <v>224</v>
      </c>
      <c r="Z9" s="244"/>
      <c r="AA9" s="244"/>
      <c r="AB9" s="244"/>
      <c r="AC9" s="244"/>
      <c r="AD9" s="244"/>
      <c r="AE9" s="244"/>
      <c r="AF9" s="244"/>
      <c r="AG9" s="67" t="s">
        <v>227</v>
      </c>
      <c r="AH9" s="236">
        <v>1</v>
      </c>
      <c r="AI9" s="236"/>
      <c r="AJ9" s="236"/>
      <c r="AK9" s="236" t="s">
        <v>797</v>
      </c>
      <c r="AL9" s="236"/>
      <c r="AM9" s="236"/>
      <c r="AN9" s="236"/>
      <c r="AO9" s="236" t="s">
        <v>94</v>
      </c>
      <c r="AP9" s="236"/>
      <c r="AQ9" s="236"/>
      <c r="AR9" s="236"/>
      <c r="AS9" s="241"/>
      <c r="AT9" s="242"/>
      <c r="AU9" s="242"/>
      <c r="AV9" s="242"/>
      <c r="AW9" s="242"/>
      <c r="AX9" s="243"/>
      <c r="AY9" s="233" t="s">
        <v>798</v>
      </c>
      <c r="AZ9" s="242"/>
      <c r="BA9" s="242"/>
      <c r="BB9" s="242"/>
      <c r="BC9" s="242"/>
      <c r="BD9" s="242"/>
      <c r="BE9" s="242"/>
      <c r="BF9" s="242"/>
      <c r="BG9" s="243"/>
      <c r="BH9" s="241"/>
      <c r="BI9" s="242"/>
      <c r="BJ9" s="243"/>
      <c r="BK9" s="240" t="s">
        <v>799</v>
      </c>
      <c r="BL9" s="236"/>
      <c r="BM9" s="236"/>
      <c r="BN9" s="236"/>
      <c r="BO9" s="236"/>
      <c r="BP9" s="236"/>
      <c r="BQ9" s="236"/>
      <c r="BR9" s="236"/>
      <c r="BS9" s="236"/>
      <c r="BT9" s="236">
        <v>43.5</v>
      </c>
      <c r="BU9" s="236"/>
      <c r="BV9" s="236"/>
      <c r="BW9" s="236"/>
      <c r="BX9" s="425">
        <v>19</v>
      </c>
      <c r="BY9" s="188"/>
      <c r="BZ9" s="189"/>
      <c r="CA9" s="426" t="s">
        <v>808</v>
      </c>
      <c r="CB9" s="427" t="s">
        <v>809</v>
      </c>
      <c r="CC9" s="429">
        <v>47</v>
      </c>
      <c r="CD9" s="430"/>
      <c r="CE9" s="431"/>
      <c r="CF9" s="188" t="s">
        <v>108</v>
      </c>
      <c r="CG9" s="188"/>
      <c r="CH9" s="188"/>
      <c r="CI9" s="189"/>
      <c r="CJ9" s="233" t="s">
        <v>800</v>
      </c>
      <c r="CK9" s="188"/>
      <c r="CL9" s="188"/>
      <c r="CM9" s="188"/>
      <c r="CN9" s="188"/>
      <c r="CO9" s="188"/>
      <c r="CP9" s="189"/>
      <c r="CQ9" s="190">
        <v>1</v>
      </c>
      <c r="CR9" s="190"/>
      <c r="CS9" s="190"/>
      <c r="CT9" s="190" t="s">
        <v>106</v>
      </c>
      <c r="CU9" s="190"/>
      <c r="CV9" s="190"/>
      <c r="CW9" s="190" t="s">
        <v>111</v>
      </c>
      <c r="CX9" s="190"/>
      <c r="CY9" s="190"/>
      <c r="CZ9" s="190"/>
      <c r="DA9" s="240" t="s">
        <v>810</v>
      </c>
      <c r="DB9" s="190"/>
      <c r="DC9" s="190"/>
      <c r="DD9" s="190"/>
      <c r="DE9" s="190"/>
      <c r="DF9" s="229"/>
      <c r="DG9" s="223">
        <v>165000</v>
      </c>
      <c r="DH9" s="224"/>
      <c r="DI9" s="224"/>
      <c r="DJ9" s="224"/>
      <c r="DK9" s="224"/>
      <c r="DL9" s="224">
        <v>165000</v>
      </c>
      <c r="DM9" s="224"/>
      <c r="DN9" s="224"/>
      <c r="DO9" s="224"/>
      <c r="DP9" s="224"/>
      <c r="DQ9" s="224">
        <v>11550</v>
      </c>
      <c r="DR9" s="224"/>
      <c r="DS9" s="224"/>
      <c r="DT9" s="224"/>
      <c r="DU9" s="224"/>
      <c r="DV9" s="225">
        <v>1650</v>
      </c>
      <c r="DW9" s="225"/>
      <c r="DX9" s="225"/>
      <c r="DY9" s="225"/>
      <c r="DZ9" s="226"/>
      <c r="EU9" s="69" t="s">
        <v>200</v>
      </c>
      <c r="EY9" s="78" t="s">
        <v>234</v>
      </c>
      <c r="FB9" s="94" t="s">
        <v>281</v>
      </c>
      <c r="FC9" s="94" t="s">
        <v>281</v>
      </c>
      <c r="FD9" s="94" t="s">
        <v>282</v>
      </c>
      <c r="FE9" s="98" t="s">
        <v>744</v>
      </c>
    </row>
    <row r="10" spans="2:161" s="69" customFormat="1" ht="20.100000000000001" customHeight="1">
      <c r="B10" s="258"/>
      <c r="C10" s="259"/>
      <c r="D10" s="259"/>
      <c r="E10" s="259"/>
      <c r="F10" s="260"/>
      <c r="G10" s="249" t="s">
        <v>802</v>
      </c>
      <c r="H10" s="264"/>
      <c r="I10" s="264"/>
      <c r="J10" s="264"/>
      <c r="K10" s="228" t="s">
        <v>796</v>
      </c>
      <c r="L10" s="237"/>
      <c r="M10" s="237"/>
      <c r="N10" s="237"/>
      <c r="O10" s="236">
        <v>16</v>
      </c>
      <c r="P10" s="236"/>
      <c r="Q10" s="236"/>
      <c r="R10" s="103" t="s">
        <v>201</v>
      </c>
      <c r="S10" s="237">
        <v>4</v>
      </c>
      <c r="T10" s="237"/>
      <c r="U10" s="103" t="s">
        <v>202</v>
      </c>
      <c r="V10" s="71" t="s">
        <v>203</v>
      </c>
      <c r="W10" s="239">
        <v>4</v>
      </c>
      <c r="X10" s="239"/>
      <c r="Y10" s="103" t="s">
        <v>202</v>
      </c>
      <c r="Z10" s="237"/>
      <c r="AA10" s="237"/>
      <c r="AB10" s="237"/>
      <c r="AC10" s="237"/>
      <c r="AD10" s="237"/>
      <c r="AE10" s="237"/>
      <c r="AF10" s="237"/>
      <c r="AG10" s="71" t="s">
        <v>203</v>
      </c>
      <c r="AH10" s="236">
        <v>1</v>
      </c>
      <c r="AI10" s="236"/>
      <c r="AJ10" s="236"/>
      <c r="AK10" s="236" t="s">
        <v>797</v>
      </c>
      <c r="AL10" s="236"/>
      <c r="AM10" s="236"/>
      <c r="AN10" s="236"/>
      <c r="AO10" s="236" t="s">
        <v>94</v>
      </c>
      <c r="AP10" s="236"/>
      <c r="AQ10" s="236"/>
      <c r="AR10" s="236"/>
      <c r="AS10" s="241"/>
      <c r="AT10" s="242"/>
      <c r="AU10" s="242"/>
      <c r="AV10" s="242"/>
      <c r="AW10" s="242"/>
      <c r="AX10" s="243"/>
      <c r="AY10" s="233" t="s">
        <v>798</v>
      </c>
      <c r="AZ10" s="242"/>
      <c r="BA10" s="242"/>
      <c r="BB10" s="242"/>
      <c r="BC10" s="242"/>
      <c r="BD10" s="242"/>
      <c r="BE10" s="242"/>
      <c r="BF10" s="242"/>
      <c r="BG10" s="243"/>
      <c r="BH10" s="241"/>
      <c r="BI10" s="242"/>
      <c r="BJ10" s="243"/>
      <c r="BK10" s="240" t="s">
        <v>799</v>
      </c>
      <c r="BL10" s="236"/>
      <c r="BM10" s="236"/>
      <c r="BN10" s="236"/>
      <c r="BO10" s="236"/>
      <c r="BP10" s="236"/>
      <c r="BQ10" s="236"/>
      <c r="BR10" s="236"/>
      <c r="BS10" s="236"/>
      <c r="BT10" s="236">
        <v>43.5</v>
      </c>
      <c r="BU10" s="236"/>
      <c r="BV10" s="236"/>
      <c r="BW10" s="236"/>
      <c r="BX10" s="425"/>
      <c r="BY10" s="188"/>
      <c r="BZ10" s="189"/>
      <c r="CA10" s="426"/>
      <c r="CB10" s="428"/>
      <c r="CC10" s="432"/>
      <c r="CD10" s="433"/>
      <c r="CE10" s="434"/>
      <c r="CF10" s="188" t="s">
        <v>108</v>
      </c>
      <c r="CG10" s="188"/>
      <c r="CH10" s="188"/>
      <c r="CI10" s="189"/>
      <c r="CJ10" s="233" t="s">
        <v>800</v>
      </c>
      <c r="CK10" s="188"/>
      <c r="CL10" s="188"/>
      <c r="CM10" s="188"/>
      <c r="CN10" s="188"/>
      <c r="CO10" s="188"/>
      <c r="CP10" s="189"/>
      <c r="CQ10" s="190">
        <v>1</v>
      </c>
      <c r="CR10" s="190"/>
      <c r="CS10" s="190"/>
      <c r="CT10" s="190" t="s">
        <v>106</v>
      </c>
      <c r="CU10" s="190"/>
      <c r="CV10" s="190"/>
      <c r="CW10" s="190" t="s">
        <v>111</v>
      </c>
      <c r="CX10" s="190"/>
      <c r="CY10" s="190"/>
      <c r="CZ10" s="190"/>
      <c r="DA10" s="228" t="s">
        <v>810</v>
      </c>
      <c r="DB10" s="190"/>
      <c r="DC10" s="190"/>
      <c r="DD10" s="190"/>
      <c r="DE10" s="190"/>
      <c r="DF10" s="229"/>
      <c r="DG10" s="223">
        <v>165000</v>
      </c>
      <c r="DH10" s="224"/>
      <c r="DI10" s="224"/>
      <c r="DJ10" s="224"/>
      <c r="DK10" s="224"/>
      <c r="DL10" s="224">
        <v>165000</v>
      </c>
      <c r="DM10" s="224"/>
      <c r="DN10" s="224"/>
      <c r="DO10" s="224"/>
      <c r="DP10" s="224"/>
      <c r="DQ10" s="224">
        <v>11550</v>
      </c>
      <c r="DR10" s="224"/>
      <c r="DS10" s="224"/>
      <c r="DT10" s="224"/>
      <c r="DU10" s="224"/>
      <c r="DV10" s="225">
        <v>1650</v>
      </c>
      <c r="DW10" s="225"/>
      <c r="DX10" s="225"/>
      <c r="DY10" s="225"/>
      <c r="DZ10" s="226"/>
      <c r="EU10" s="69" t="s">
        <v>204</v>
      </c>
      <c r="EY10" s="78" t="s">
        <v>228</v>
      </c>
      <c r="FB10" s="94" t="s">
        <v>283</v>
      </c>
      <c r="FC10" s="94" t="s">
        <v>283</v>
      </c>
      <c r="FD10" s="94" t="s">
        <v>284</v>
      </c>
      <c r="FE10" s="98" t="s">
        <v>745</v>
      </c>
    </row>
    <row r="11" spans="2:161" s="69" customFormat="1" ht="20.100000000000001" customHeight="1">
      <c r="B11" s="258"/>
      <c r="C11" s="259"/>
      <c r="D11" s="259"/>
      <c r="E11" s="259"/>
      <c r="F11" s="260"/>
      <c r="G11" s="249" t="s">
        <v>794</v>
      </c>
      <c r="H11" s="250"/>
      <c r="I11" s="250"/>
      <c r="J11" s="250"/>
      <c r="K11" s="228" t="s">
        <v>796</v>
      </c>
      <c r="L11" s="237"/>
      <c r="M11" s="237"/>
      <c r="N11" s="237"/>
      <c r="O11" s="236">
        <v>16</v>
      </c>
      <c r="P11" s="236"/>
      <c r="Q11" s="236"/>
      <c r="R11" s="103" t="s">
        <v>201</v>
      </c>
      <c r="S11" s="237">
        <v>4</v>
      </c>
      <c r="T11" s="237"/>
      <c r="U11" s="103" t="s">
        <v>202</v>
      </c>
      <c r="V11" s="71" t="s">
        <v>203</v>
      </c>
      <c r="W11" s="239">
        <v>4</v>
      </c>
      <c r="X11" s="239"/>
      <c r="Y11" s="103" t="s">
        <v>202</v>
      </c>
      <c r="Z11" s="237"/>
      <c r="AA11" s="237"/>
      <c r="AB11" s="237"/>
      <c r="AC11" s="237"/>
      <c r="AD11" s="237"/>
      <c r="AE11" s="237"/>
      <c r="AF11" s="237"/>
      <c r="AG11" s="71" t="s">
        <v>203</v>
      </c>
      <c r="AH11" s="236">
        <v>1</v>
      </c>
      <c r="AI11" s="236"/>
      <c r="AJ11" s="236"/>
      <c r="AK11" s="236" t="s">
        <v>797</v>
      </c>
      <c r="AL11" s="236"/>
      <c r="AM11" s="236"/>
      <c r="AN11" s="236"/>
      <c r="AO11" s="236" t="s">
        <v>94</v>
      </c>
      <c r="AP11" s="236"/>
      <c r="AQ11" s="236"/>
      <c r="AR11" s="236"/>
      <c r="AS11" s="241"/>
      <c r="AT11" s="242"/>
      <c r="AU11" s="242"/>
      <c r="AV11" s="242"/>
      <c r="AW11" s="242"/>
      <c r="AX11" s="243"/>
      <c r="AY11" s="233" t="s">
        <v>798</v>
      </c>
      <c r="AZ11" s="242"/>
      <c r="BA11" s="242"/>
      <c r="BB11" s="242"/>
      <c r="BC11" s="242"/>
      <c r="BD11" s="242"/>
      <c r="BE11" s="242"/>
      <c r="BF11" s="242"/>
      <c r="BG11" s="243"/>
      <c r="BH11" s="241"/>
      <c r="BI11" s="242"/>
      <c r="BJ11" s="243"/>
      <c r="BK11" s="240" t="s">
        <v>799</v>
      </c>
      <c r="BL11" s="236"/>
      <c r="BM11" s="236"/>
      <c r="BN11" s="236"/>
      <c r="BO11" s="236"/>
      <c r="BP11" s="236"/>
      <c r="BQ11" s="236"/>
      <c r="BR11" s="236"/>
      <c r="BS11" s="236"/>
      <c r="BT11" s="236">
        <v>43.5</v>
      </c>
      <c r="BU11" s="236"/>
      <c r="BV11" s="236"/>
      <c r="BW11" s="236"/>
      <c r="BX11" s="425"/>
      <c r="BY11" s="188"/>
      <c r="BZ11" s="189"/>
      <c r="CA11" s="426"/>
      <c r="CB11" s="428"/>
      <c r="CC11" s="432"/>
      <c r="CD11" s="433"/>
      <c r="CE11" s="434"/>
      <c r="CF11" s="188" t="s">
        <v>108</v>
      </c>
      <c r="CG11" s="188"/>
      <c r="CH11" s="188"/>
      <c r="CI11" s="189"/>
      <c r="CJ11" s="233" t="s">
        <v>800</v>
      </c>
      <c r="CK11" s="188"/>
      <c r="CL11" s="188"/>
      <c r="CM11" s="188"/>
      <c r="CN11" s="188"/>
      <c r="CO11" s="188"/>
      <c r="CP11" s="189"/>
      <c r="CQ11" s="190">
        <v>1</v>
      </c>
      <c r="CR11" s="190"/>
      <c r="CS11" s="190"/>
      <c r="CT11" s="190" t="s">
        <v>106</v>
      </c>
      <c r="CU11" s="190"/>
      <c r="CV11" s="190"/>
      <c r="CW11" s="190" t="s">
        <v>111</v>
      </c>
      <c r="CX11" s="190"/>
      <c r="CY11" s="190"/>
      <c r="CZ11" s="190"/>
      <c r="DA11" s="228" t="s">
        <v>810</v>
      </c>
      <c r="DB11" s="190"/>
      <c r="DC11" s="190"/>
      <c r="DD11" s="190"/>
      <c r="DE11" s="190"/>
      <c r="DF11" s="229"/>
      <c r="DG11" s="223">
        <v>165000</v>
      </c>
      <c r="DH11" s="224"/>
      <c r="DI11" s="224"/>
      <c r="DJ11" s="224"/>
      <c r="DK11" s="224"/>
      <c r="DL11" s="224">
        <v>165000</v>
      </c>
      <c r="DM11" s="224"/>
      <c r="DN11" s="224"/>
      <c r="DO11" s="224"/>
      <c r="DP11" s="224"/>
      <c r="DQ11" s="224">
        <v>11550</v>
      </c>
      <c r="DR11" s="224"/>
      <c r="DS11" s="224"/>
      <c r="DT11" s="224"/>
      <c r="DU11" s="224"/>
      <c r="DV11" s="225">
        <v>1650</v>
      </c>
      <c r="DW11" s="225"/>
      <c r="DX11" s="225"/>
      <c r="DY11" s="225"/>
      <c r="DZ11" s="226"/>
      <c r="EU11" s="79" t="s">
        <v>241</v>
      </c>
      <c r="EW11" s="69" t="s">
        <v>205</v>
      </c>
      <c r="EY11" s="78"/>
      <c r="FB11" s="94" t="s">
        <v>285</v>
      </c>
      <c r="FC11" s="94" t="s">
        <v>286</v>
      </c>
      <c r="FD11" s="94" t="s">
        <v>287</v>
      </c>
      <c r="FE11" s="98" t="s">
        <v>746</v>
      </c>
    </row>
    <row r="12" spans="2:161" s="69" customFormat="1" ht="20.100000000000001" customHeight="1">
      <c r="B12" s="258"/>
      <c r="C12" s="259"/>
      <c r="D12" s="259"/>
      <c r="E12" s="259"/>
      <c r="F12" s="260"/>
      <c r="G12" s="249" t="s">
        <v>795</v>
      </c>
      <c r="H12" s="264"/>
      <c r="I12" s="264"/>
      <c r="J12" s="264"/>
      <c r="K12" s="228" t="s">
        <v>796</v>
      </c>
      <c r="L12" s="237"/>
      <c r="M12" s="237"/>
      <c r="N12" s="237"/>
      <c r="O12" s="236">
        <v>16</v>
      </c>
      <c r="P12" s="236"/>
      <c r="Q12" s="236"/>
      <c r="R12" s="103" t="s">
        <v>206</v>
      </c>
      <c r="S12" s="237">
        <v>4</v>
      </c>
      <c r="T12" s="237"/>
      <c r="U12" s="103" t="s">
        <v>207</v>
      </c>
      <c r="V12" s="71" t="s">
        <v>52</v>
      </c>
      <c r="W12" s="239">
        <v>4</v>
      </c>
      <c r="X12" s="239"/>
      <c r="Y12" s="103" t="s">
        <v>207</v>
      </c>
      <c r="Z12" s="237"/>
      <c r="AA12" s="237"/>
      <c r="AB12" s="237"/>
      <c r="AC12" s="237"/>
      <c r="AD12" s="237"/>
      <c r="AE12" s="237"/>
      <c r="AF12" s="237"/>
      <c r="AG12" s="71" t="s">
        <v>52</v>
      </c>
      <c r="AH12" s="236">
        <v>1</v>
      </c>
      <c r="AI12" s="236"/>
      <c r="AJ12" s="236"/>
      <c r="AK12" s="236" t="s">
        <v>797</v>
      </c>
      <c r="AL12" s="236"/>
      <c r="AM12" s="236"/>
      <c r="AN12" s="236"/>
      <c r="AO12" s="228" t="s">
        <v>94</v>
      </c>
      <c r="AP12" s="236"/>
      <c r="AQ12" s="236"/>
      <c r="AR12" s="236"/>
      <c r="AS12" s="241"/>
      <c r="AT12" s="242"/>
      <c r="AU12" s="242"/>
      <c r="AV12" s="242"/>
      <c r="AW12" s="242"/>
      <c r="AX12" s="243"/>
      <c r="AY12" s="233" t="s">
        <v>798</v>
      </c>
      <c r="AZ12" s="242"/>
      <c r="BA12" s="242"/>
      <c r="BB12" s="242"/>
      <c r="BC12" s="242"/>
      <c r="BD12" s="242"/>
      <c r="BE12" s="242"/>
      <c r="BF12" s="242"/>
      <c r="BG12" s="243"/>
      <c r="BH12" s="241"/>
      <c r="BI12" s="242"/>
      <c r="BJ12" s="243"/>
      <c r="BK12" s="240" t="s">
        <v>799</v>
      </c>
      <c r="BL12" s="236"/>
      <c r="BM12" s="236"/>
      <c r="BN12" s="236"/>
      <c r="BO12" s="236"/>
      <c r="BP12" s="236"/>
      <c r="BQ12" s="236"/>
      <c r="BR12" s="236"/>
      <c r="BS12" s="236"/>
      <c r="BT12" s="236">
        <v>43.5</v>
      </c>
      <c r="BU12" s="236"/>
      <c r="BV12" s="236"/>
      <c r="BW12" s="236"/>
      <c r="BX12" s="425"/>
      <c r="BY12" s="188"/>
      <c r="BZ12" s="189"/>
      <c r="CA12" s="426"/>
      <c r="CB12" s="428"/>
      <c r="CC12" s="432"/>
      <c r="CD12" s="433"/>
      <c r="CE12" s="434"/>
      <c r="CF12" s="188" t="s">
        <v>108</v>
      </c>
      <c r="CG12" s="188"/>
      <c r="CH12" s="188"/>
      <c r="CI12" s="189"/>
      <c r="CJ12" s="233" t="s">
        <v>800</v>
      </c>
      <c r="CK12" s="188"/>
      <c r="CL12" s="188"/>
      <c r="CM12" s="188"/>
      <c r="CN12" s="188"/>
      <c r="CO12" s="188"/>
      <c r="CP12" s="189"/>
      <c r="CQ12" s="190">
        <v>1</v>
      </c>
      <c r="CR12" s="190"/>
      <c r="CS12" s="190"/>
      <c r="CT12" s="190" t="s">
        <v>106</v>
      </c>
      <c r="CU12" s="190"/>
      <c r="CV12" s="190"/>
      <c r="CW12" s="190" t="s">
        <v>111</v>
      </c>
      <c r="CX12" s="190"/>
      <c r="CY12" s="190"/>
      <c r="CZ12" s="190"/>
      <c r="DA12" s="228" t="s">
        <v>810</v>
      </c>
      <c r="DB12" s="190"/>
      <c r="DC12" s="190"/>
      <c r="DD12" s="190"/>
      <c r="DE12" s="190"/>
      <c r="DF12" s="229"/>
      <c r="DG12" s="223">
        <v>165000</v>
      </c>
      <c r="DH12" s="224"/>
      <c r="DI12" s="224"/>
      <c r="DJ12" s="224"/>
      <c r="DK12" s="224"/>
      <c r="DL12" s="224">
        <v>165000</v>
      </c>
      <c r="DM12" s="224"/>
      <c r="DN12" s="224"/>
      <c r="DO12" s="224"/>
      <c r="DP12" s="224"/>
      <c r="DQ12" s="224">
        <v>11550</v>
      </c>
      <c r="DR12" s="224"/>
      <c r="DS12" s="224"/>
      <c r="DT12" s="224"/>
      <c r="DU12" s="224"/>
      <c r="DV12" s="225">
        <v>1650</v>
      </c>
      <c r="DW12" s="225"/>
      <c r="DX12" s="225"/>
      <c r="DY12" s="225"/>
      <c r="DZ12" s="226"/>
      <c r="EU12" s="69" t="s">
        <v>82</v>
      </c>
      <c r="EY12" s="78" t="s">
        <v>235</v>
      </c>
      <c r="FB12" s="94" t="s">
        <v>288</v>
      </c>
      <c r="FC12" s="94" t="s">
        <v>288</v>
      </c>
      <c r="FD12" s="94" t="s">
        <v>289</v>
      </c>
      <c r="FE12" s="98" t="s">
        <v>747</v>
      </c>
    </row>
    <row r="13" spans="2:161" s="69" customFormat="1" ht="20.100000000000001" customHeight="1" thickBot="1">
      <c r="B13" s="258"/>
      <c r="C13" s="259"/>
      <c r="D13" s="259"/>
      <c r="E13" s="259"/>
      <c r="F13" s="260"/>
      <c r="G13" s="249" t="s">
        <v>805</v>
      </c>
      <c r="H13" s="250"/>
      <c r="I13" s="250"/>
      <c r="J13" s="250"/>
      <c r="K13" s="228" t="s">
        <v>796</v>
      </c>
      <c r="L13" s="237"/>
      <c r="M13" s="237"/>
      <c r="N13" s="237"/>
      <c r="O13" s="236">
        <v>16</v>
      </c>
      <c r="P13" s="236"/>
      <c r="Q13" s="236"/>
      <c r="R13" s="103" t="s">
        <v>208</v>
      </c>
      <c r="S13" s="237">
        <v>4</v>
      </c>
      <c r="T13" s="237"/>
      <c r="U13" s="103" t="s">
        <v>209</v>
      </c>
      <c r="V13" s="71" t="s">
        <v>210</v>
      </c>
      <c r="W13" s="239">
        <v>4</v>
      </c>
      <c r="X13" s="239"/>
      <c r="Y13" s="103" t="s">
        <v>209</v>
      </c>
      <c r="Z13" s="237"/>
      <c r="AA13" s="237"/>
      <c r="AB13" s="237"/>
      <c r="AC13" s="237"/>
      <c r="AD13" s="237"/>
      <c r="AE13" s="237"/>
      <c r="AF13" s="237"/>
      <c r="AG13" s="71" t="s">
        <v>210</v>
      </c>
      <c r="AH13" s="236">
        <v>1</v>
      </c>
      <c r="AI13" s="236"/>
      <c r="AJ13" s="236"/>
      <c r="AK13" s="236" t="s">
        <v>797</v>
      </c>
      <c r="AL13" s="236"/>
      <c r="AM13" s="236"/>
      <c r="AN13" s="236"/>
      <c r="AO13" s="236" t="s">
        <v>94</v>
      </c>
      <c r="AP13" s="236"/>
      <c r="AQ13" s="236"/>
      <c r="AR13" s="236"/>
      <c r="AS13" s="241"/>
      <c r="AT13" s="242"/>
      <c r="AU13" s="242"/>
      <c r="AV13" s="242"/>
      <c r="AW13" s="242"/>
      <c r="AX13" s="243"/>
      <c r="AY13" s="233" t="s">
        <v>798</v>
      </c>
      <c r="AZ13" s="242"/>
      <c r="BA13" s="242"/>
      <c r="BB13" s="242"/>
      <c r="BC13" s="242"/>
      <c r="BD13" s="242"/>
      <c r="BE13" s="242"/>
      <c r="BF13" s="242"/>
      <c r="BG13" s="243"/>
      <c r="BH13" s="241"/>
      <c r="BI13" s="242"/>
      <c r="BJ13" s="243"/>
      <c r="BK13" s="240" t="s">
        <v>799</v>
      </c>
      <c r="BL13" s="236"/>
      <c r="BM13" s="236"/>
      <c r="BN13" s="236"/>
      <c r="BO13" s="236"/>
      <c r="BP13" s="236"/>
      <c r="BQ13" s="236"/>
      <c r="BR13" s="236"/>
      <c r="BS13" s="236"/>
      <c r="BT13" s="236">
        <v>43.5</v>
      </c>
      <c r="BU13" s="236"/>
      <c r="BV13" s="236"/>
      <c r="BW13" s="236"/>
      <c r="BX13" s="425"/>
      <c r="BY13" s="188"/>
      <c r="BZ13" s="189"/>
      <c r="CA13" s="426"/>
      <c r="CB13" s="428"/>
      <c r="CC13" s="435"/>
      <c r="CD13" s="436"/>
      <c r="CE13" s="437"/>
      <c r="CF13" s="188" t="s">
        <v>108</v>
      </c>
      <c r="CG13" s="188"/>
      <c r="CH13" s="188"/>
      <c r="CI13" s="189"/>
      <c r="CJ13" s="233" t="s">
        <v>800</v>
      </c>
      <c r="CK13" s="188"/>
      <c r="CL13" s="188"/>
      <c r="CM13" s="188"/>
      <c r="CN13" s="188"/>
      <c r="CO13" s="188"/>
      <c r="CP13" s="189"/>
      <c r="CQ13" s="190">
        <v>1</v>
      </c>
      <c r="CR13" s="190"/>
      <c r="CS13" s="190"/>
      <c r="CT13" s="190" t="s">
        <v>106</v>
      </c>
      <c r="CU13" s="190"/>
      <c r="CV13" s="190"/>
      <c r="CW13" s="190" t="s">
        <v>111</v>
      </c>
      <c r="CX13" s="190"/>
      <c r="CY13" s="190"/>
      <c r="CZ13" s="190"/>
      <c r="DA13" s="228" t="s">
        <v>810</v>
      </c>
      <c r="DB13" s="190"/>
      <c r="DC13" s="190"/>
      <c r="DD13" s="190"/>
      <c r="DE13" s="190"/>
      <c r="DF13" s="229"/>
      <c r="DG13" s="223">
        <v>165000</v>
      </c>
      <c r="DH13" s="224"/>
      <c r="DI13" s="224"/>
      <c r="DJ13" s="224"/>
      <c r="DK13" s="224"/>
      <c r="DL13" s="224">
        <v>165000</v>
      </c>
      <c r="DM13" s="224"/>
      <c r="DN13" s="224"/>
      <c r="DO13" s="224"/>
      <c r="DP13" s="224"/>
      <c r="DQ13" s="224">
        <v>11550</v>
      </c>
      <c r="DR13" s="224"/>
      <c r="DS13" s="224"/>
      <c r="DT13" s="224"/>
      <c r="DU13" s="224"/>
      <c r="DV13" s="225">
        <v>1650</v>
      </c>
      <c r="DW13" s="225"/>
      <c r="DX13" s="225"/>
      <c r="DY13" s="225"/>
      <c r="DZ13" s="226"/>
      <c r="EU13" s="69" t="s">
        <v>139</v>
      </c>
      <c r="EY13" s="78" t="s">
        <v>236</v>
      </c>
      <c r="FB13" s="94" t="s">
        <v>290</v>
      </c>
      <c r="FC13" s="94" t="s">
        <v>290</v>
      </c>
      <c r="FD13" s="94" t="s">
        <v>291</v>
      </c>
      <c r="FE13" s="98" t="s">
        <v>748</v>
      </c>
    </row>
    <row r="14" spans="2:161" s="69" customFormat="1" ht="20.100000000000001" customHeight="1" thickTop="1">
      <c r="B14" s="258"/>
      <c r="C14" s="259"/>
      <c r="D14" s="259"/>
      <c r="E14" s="259"/>
      <c r="F14" s="260"/>
      <c r="G14" s="134"/>
      <c r="H14" s="135"/>
      <c r="I14" s="135"/>
      <c r="J14" s="135"/>
      <c r="K14" s="136"/>
      <c r="L14" s="136"/>
      <c r="M14" s="136"/>
      <c r="N14" s="136"/>
      <c r="O14" s="136"/>
      <c r="P14" s="136"/>
      <c r="Q14" s="136"/>
      <c r="R14" s="70" t="s">
        <v>208</v>
      </c>
      <c r="S14" s="234"/>
      <c r="T14" s="234"/>
      <c r="U14" s="70" t="s">
        <v>209</v>
      </c>
      <c r="V14" s="71" t="s">
        <v>210</v>
      </c>
      <c r="W14" s="202"/>
      <c r="X14" s="202"/>
      <c r="Y14" s="70" t="s">
        <v>209</v>
      </c>
      <c r="Z14" s="234"/>
      <c r="AA14" s="234"/>
      <c r="AB14" s="234"/>
      <c r="AC14" s="234"/>
      <c r="AD14" s="234"/>
      <c r="AE14" s="234"/>
      <c r="AF14" s="234"/>
      <c r="AG14" s="71" t="s">
        <v>210</v>
      </c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230"/>
      <c r="AT14" s="231"/>
      <c r="AU14" s="231"/>
      <c r="AV14" s="231"/>
      <c r="AW14" s="231"/>
      <c r="AX14" s="232"/>
      <c r="AY14" s="230"/>
      <c r="AZ14" s="231"/>
      <c r="BA14" s="231"/>
      <c r="BB14" s="231"/>
      <c r="BC14" s="231"/>
      <c r="BD14" s="231"/>
      <c r="BE14" s="231"/>
      <c r="BF14" s="231"/>
      <c r="BG14" s="232"/>
      <c r="BH14" s="230"/>
      <c r="BI14" s="231"/>
      <c r="BJ14" s="232"/>
      <c r="BK14" s="136"/>
      <c r="BL14" s="136"/>
      <c r="BM14" s="136"/>
      <c r="BN14" s="136"/>
      <c r="BO14" s="136"/>
      <c r="BP14" s="136"/>
      <c r="BQ14" s="136"/>
      <c r="BR14" s="136"/>
      <c r="BS14" s="136"/>
      <c r="BT14" s="136"/>
      <c r="BU14" s="136"/>
      <c r="BV14" s="136"/>
      <c r="BW14" s="136"/>
      <c r="BX14" s="230"/>
      <c r="BY14" s="231"/>
      <c r="BZ14" s="232"/>
      <c r="CA14" s="68" t="s">
        <v>211</v>
      </c>
      <c r="CB14" s="71" t="s">
        <v>210</v>
      </c>
      <c r="CC14" s="381"/>
      <c r="CD14" s="381"/>
      <c r="CE14" s="381"/>
      <c r="CF14" s="230"/>
      <c r="CG14" s="231"/>
      <c r="CH14" s="231"/>
      <c r="CI14" s="232"/>
      <c r="CJ14" s="230"/>
      <c r="CK14" s="231"/>
      <c r="CL14" s="231"/>
      <c r="CM14" s="231"/>
      <c r="CN14" s="231"/>
      <c r="CO14" s="231"/>
      <c r="CP14" s="232"/>
      <c r="CQ14" s="136"/>
      <c r="CR14" s="136"/>
      <c r="CS14" s="136"/>
      <c r="CT14" s="136"/>
      <c r="CU14" s="136"/>
      <c r="CV14" s="136"/>
      <c r="CW14" s="136"/>
      <c r="CX14" s="136"/>
      <c r="CY14" s="136"/>
      <c r="CZ14" s="136"/>
      <c r="DA14" s="136"/>
      <c r="DB14" s="136"/>
      <c r="DC14" s="136"/>
      <c r="DD14" s="136"/>
      <c r="DE14" s="136"/>
      <c r="DF14" s="227"/>
      <c r="DG14" s="145"/>
      <c r="DH14" s="146"/>
      <c r="DI14" s="146"/>
      <c r="DJ14" s="146"/>
      <c r="DK14" s="146"/>
      <c r="DL14" s="146"/>
      <c r="DM14" s="146"/>
      <c r="DN14" s="146"/>
      <c r="DO14" s="146"/>
      <c r="DP14" s="146"/>
      <c r="DQ14" s="146"/>
      <c r="DR14" s="146"/>
      <c r="DS14" s="146"/>
      <c r="DT14" s="146"/>
      <c r="DU14" s="146"/>
      <c r="DV14" s="147"/>
      <c r="DW14" s="147"/>
      <c r="DX14" s="147"/>
      <c r="DY14" s="147"/>
      <c r="DZ14" s="148"/>
      <c r="EU14" s="69" t="s">
        <v>140</v>
      </c>
      <c r="EY14" s="78" t="s">
        <v>237</v>
      </c>
      <c r="FB14" s="94" t="s">
        <v>292</v>
      </c>
      <c r="FC14" s="94" t="s">
        <v>292</v>
      </c>
      <c r="FD14" s="94" t="s">
        <v>293</v>
      </c>
      <c r="FE14" s="98">
        <v>1737</v>
      </c>
    </row>
    <row r="15" spans="2:161" s="69" customFormat="1" ht="20.100000000000001" customHeight="1">
      <c r="B15" s="258"/>
      <c r="C15" s="259"/>
      <c r="D15" s="259"/>
      <c r="E15" s="259"/>
      <c r="F15" s="260"/>
      <c r="G15" s="134"/>
      <c r="H15" s="135"/>
      <c r="I15" s="135"/>
      <c r="J15" s="135"/>
      <c r="K15" s="136"/>
      <c r="L15" s="136"/>
      <c r="M15" s="136"/>
      <c r="N15" s="136"/>
      <c r="O15" s="136"/>
      <c r="P15" s="136"/>
      <c r="Q15" s="136"/>
      <c r="R15" s="70" t="s">
        <v>208</v>
      </c>
      <c r="S15" s="234"/>
      <c r="T15" s="234"/>
      <c r="U15" s="70" t="s">
        <v>209</v>
      </c>
      <c r="V15" s="71" t="s">
        <v>210</v>
      </c>
      <c r="W15" s="202"/>
      <c r="X15" s="202"/>
      <c r="Y15" s="70" t="s">
        <v>209</v>
      </c>
      <c r="Z15" s="234"/>
      <c r="AA15" s="234"/>
      <c r="AB15" s="234"/>
      <c r="AC15" s="234"/>
      <c r="AD15" s="234"/>
      <c r="AE15" s="234"/>
      <c r="AF15" s="234"/>
      <c r="AG15" s="71" t="s">
        <v>210</v>
      </c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230"/>
      <c r="AT15" s="231"/>
      <c r="AU15" s="231"/>
      <c r="AV15" s="231"/>
      <c r="AW15" s="231"/>
      <c r="AX15" s="232"/>
      <c r="AY15" s="230"/>
      <c r="AZ15" s="231"/>
      <c r="BA15" s="231"/>
      <c r="BB15" s="231"/>
      <c r="BC15" s="231"/>
      <c r="BD15" s="231"/>
      <c r="BE15" s="231"/>
      <c r="BF15" s="231"/>
      <c r="BG15" s="232"/>
      <c r="BH15" s="230"/>
      <c r="BI15" s="231"/>
      <c r="BJ15" s="232"/>
      <c r="BK15" s="136"/>
      <c r="BL15" s="136"/>
      <c r="BM15" s="136"/>
      <c r="BN15" s="136"/>
      <c r="BO15" s="136"/>
      <c r="BP15" s="136"/>
      <c r="BQ15" s="136"/>
      <c r="BR15" s="136"/>
      <c r="BS15" s="136"/>
      <c r="BT15" s="136"/>
      <c r="BU15" s="136"/>
      <c r="BV15" s="136"/>
      <c r="BW15" s="136"/>
      <c r="BX15" s="230"/>
      <c r="BY15" s="231"/>
      <c r="BZ15" s="232"/>
      <c r="CA15" s="68" t="s">
        <v>211</v>
      </c>
      <c r="CB15" s="71" t="s">
        <v>210</v>
      </c>
      <c r="CC15" s="136"/>
      <c r="CD15" s="136"/>
      <c r="CE15" s="136"/>
      <c r="CF15" s="230"/>
      <c r="CG15" s="231"/>
      <c r="CH15" s="231"/>
      <c r="CI15" s="232"/>
      <c r="CJ15" s="230"/>
      <c r="CK15" s="231"/>
      <c r="CL15" s="231"/>
      <c r="CM15" s="231"/>
      <c r="CN15" s="231"/>
      <c r="CO15" s="231"/>
      <c r="CP15" s="232"/>
      <c r="CQ15" s="136"/>
      <c r="CR15" s="136"/>
      <c r="CS15" s="136"/>
      <c r="CT15" s="136"/>
      <c r="CU15" s="136"/>
      <c r="CV15" s="136"/>
      <c r="CW15" s="136"/>
      <c r="CX15" s="136"/>
      <c r="CY15" s="136"/>
      <c r="CZ15" s="136"/>
      <c r="DA15" s="136"/>
      <c r="DB15" s="136"/>
      <c r="DC15" s="136"/>
      <c r="DD15" s="136"/>
      <c r="DE15" s="136"/>
      <c r="DF15" s="227"/>
      <c r="DG15" s="145">
        <v>2</v>
      </c>
      <c r="DH15" s="146"/>
      <c r="DI15" s="146"/>
      <c r="DJ15" s="146"/>
      <c r="DK15" s="146"/>
      <c r="DL15" s="146"/>
      <c r="DM15" s="146"/>
      <c r="DN15" s="146"/>
      <c r="DO15" s="146"/>
      <c r="DP15" s="146"/>
      <c r="DQ15" s="146"/>
      <c r="DR15" s="146"/>
      <c r="DS15" s="146"/>
      <c r="DT15" s="146"/>
      <c r="DU15" s="146"/>
      <c r="DV15" s="147"/>
      <c r="DW15" s="147"/>
      <c r="DX15" s="147"/>
      <c r="DY15" s="147"/>
      <c r="DZ15" s="148"/>
      <c r="EU15" s="77" t="s">
        <v>242</v>
      </c>
      <c r="EY15" s="78" t="s">
        <v>238</v>
      </c>
      <c r="FB15" s="94" t="s">
        <v>294</v>
      </c>
      <c r="FC15" s="94" t="s">
        <v>294</v>
      </c>
      <c r="FD15" s="94" t="s">
        <v>295</v>
      </c>
      <c r="FE15" s="98">
        <v>4955</v>
      </c>
    </row>
    <row r="16" spans="2:161" s="69" customFormat="1" ht="20.100000000000001" customHeight="1">
      <c r="B16" s="258"/>
      <c r="C16" s="259"/>
      <c r="D16" s="259"/>
      <c r="E16" s="259"/>
      <c r="F16" s="260"/>
      <c r="G16" s="134"/>
      <c r="H16" s="135"/>
      <c r="I16" s="135"/>
      <c r="J16" s="135"/>
      <c r="K16" s="136"/>
      <c r="L16" s="136"/>
      <c r="M16" s="136"/>
      <c r="N16" s="136"/>
      <c r="O16" s="136"/>
      <c r="P16" s="136"/>
      <c r="Q16" s="136"/>
      <c r="R16" s="70" t="s">
        <v>212</v>
      </c>
      <c r="S16" s="234"/>
      <c r="T16" s="234"/>
      <c r="U16" s="70" t="s">
        <v>213</v>
      </c>
      <c r="V16" s="71" t="s">
        <v>214</v>
      </c>
      <c r="W16" s="202"/>
      <c r="X16" s="202"/>
      <c r="Y16" s="70" t="s">
        <v>213</v>
      </c>
      <c r="Z16" s="234"/>
      <c r="AA16" s="234"/>
      <c r="AB16" s="234"/>
      <c r="AC16" s="234"/>
      <c r="AD16" s="234"/>
      <c r="AE16" s="234"/>
      <c r="AF16" s="234"/>
      <c r="AG16" s="71" t="s">
        <v>214</v>
      </c>
      <c r="AH16" s="136"/>
      <c r="AI16" s="136"/>
      <c r="AJ16" s="136"/>
      <c r="AK16" s="136"/>
      <c r="AL16" s="136"/>
      <c r="AM16" s="136"/>
      <c r="AN16" s="136"/>
      <c r="AO16" s="136"/>
      <c r="AP16" s="136"/>
      <c r="AQ16" s="136"/>
      <c r="AR16" s="136"/>
      <c r="AS16" s="230"/>
      <c r="AT16" s="231"/>
      <c r="AU16" s="231"/>
      <c r="AV16" s="231"/>
      <c r="AW16" s="231"/>
      <c r="AX16" s="232"/>
      <c r="AY16" s="230"/>
      <c r="AZ16" s="231"/>
      <c r="BA16" s="231"/>
      <c r="BB16" s="231"/>
      <c r="BC16" s="231"/>
      <c r="BD16" s="231"/>
      <c r="BE16" s="231"/>
      <c r="BF16" s="231"/>
      <c r="BG16" s="232"/>
      <c r="BH16" s="230"/>
      <c r="BI16" s="231"/>
      <c r="BJ16" s="232"/>
      <c r="BK16" s="136"/>
      <c r="BL16" s="136"/>
      <c r="BM16" s="136"/>
      <c r="BN16" s="136"/>
      <c r="BO16" s="136"/>
      <c r="BP16" s="136"/>
      <c r="BQ16" s="136"/>
      <c r="BR16" s="136"/>
      <c r="BS16" s="136"/>
      <c r="BT16" s="136"/>
      <c r="BU16" s="136"/>
      <c r="BV16" s="136"/>
      <c r="BW16" s="136"/>
      <c r="BX16" s="230"/>
      <c r="BY16" s="231"/>
      <c r="BZ16" s="232"/>
      <c r="CA16" s="68" t="s">
        <v>215</v>
      </c>
      <c r="CB16" s="71" t="s">
        <v>214</v>
      </c>
      <c r="CC16" s="136"/>
      <c r="CD16" s="136"/>
      <c r="CE16" s="136"/>
      <c r="CF16" s="230"/>
      <c r="CG16" s="231"/>
      <c r="CH16" s="231"/>
      <c r="CI16" s="232"/>
      <c r="CJ16" s="230"/>
      <c r="CK16" s="231"/>
      <c r="CL16" s="231"/>
      <c r="CM16" s="231"/>
      <c r="CN16" s="231"/>
      <c r="CO16" s="231"/>
      <c r="CP16" s="232"/>
      <c r="CQ16" s="136"/>
      <c r="CR16" s="136"/>
      <c r="CS16" s="136"/>
      <c r="CT16" s="136"/>
      <c r="CU16" s="136"/>
      <c r="CV16" s="136"/>
      <c r="CW16" s="136"/>
      <c r="CX16" s="136"/>
      <c r="CY16" s="136"/>
      <c r="CZ16" s="136"/>
      <c r="DA16" s="136"/>
      <c r="DB16" s="136"/>
      <c r="DC16" s="136"/>
      <c r="DD16" s="136"/>
      <c r="DE16" s="136"/>
      <c r="DF16" s="227"/>
      <c r="DG16" s="145">
        <v>2</v>
      </c>
      <c r="DH16" s="146"/>
      <c r="DI16" s="146"/>
      <c r="DJ16" s="146"/>
      <c r="DK16" s="146"/>
      <c r="DL16" s="146"/>
      <c r="DM16" s="146"/>
      <c r="DN16" s="146"/>
      <c r="DO16" s="146"/>
      <c r="DP16" s="146"/>
      <c r="DQ16" s="146"/>
      <c r="DR16" s="146"/>
      <c r="DS16" s="146"/>
      <c r="DT16" s="146"/>
      <c r="DU16" s="146"/>
      <c r="DV16" s="147"/>
      <c r="DW16" s="147"/>
      <c r="DX16" s="147"/>
      <c r="DY16" s="147"/>
      <c r="DZ16" s="148"/>
      <c r="EU16" s="79" t="s">
        <v>240</v>
      </c>
      <c r="EY16" s="78" t="s">
        <v>239</v>
      </c>
      <c r="FB16" s="94" t="s">
        <v>296</v>
      </c>
      <c r="FC16" s="94" t="s">
        <v>297</v>
      </c>
      <c r="FD16" s="94" t="s">
        <v>298</v>
      </c>
      <c r="FE16" s="98">
        <v>1859</v>
      </c>
    </row>
    <row r="17" spans="2:161" s="69" customFormat="1" ht="20.100000000000001" customHeight="1">
      <c r="B17" s="258"/>
      <c r="C17" s="259"/>
      <c r="D17" s="259"/>
      <c r="E17" s="259"/>
      <c r="F17" s="260"/>
      <c r="G17" s="134"/>
      <c r="H17" s="135"/>
      <c r="I17" s="135"/>
      <c r="J17" s="135"/>
      <c r="K17" s="136"/>
      <c r="L17" s="136"/>
      <c r="M17" s="136"/>
      <c r="N17" s="136"/>
      <c r="O17" s="136"/>
      <c r="P17" s="136"/>
      <c r="Q17" s="136"/>
      <c r="R17" s="70" t="s">
        <v>212</v>
      </c>
      <c r="S17" s="234"/>
      <c r="T17" s="234"/>
      <c r="U17" s="70" t="s">
        <v>213</v>
      </c>
      <c r="V17" s="71" t="s">
        <v>214</v>
      </c>
      <c r="W17" s="202"/>
      <c r="X17" s="202"/>
      <c r="Y17" s="70" t="s">
        <v>213</v>
      </c>
      <c r="Z17" s="234"/>
      <c r="AA17" s="234"/>
      <c r="AB17" s="234"/>
      <c r="AC17" s="234"/>
      <c r="AD17" s="234"/>
      <c r="AE17" s="234"/>
      <c r="AF17" s="234"/>
      <c r="AG17" s="71" t="s">
        <v>214</v>
      </c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230"/>
      <c r="AT17" s="231"/>
      <c r="AU17" s="231"/>
      <c r="AV17" s="231"/>
      <c r="AW17" s="231"/>
      <c r="AX17" s="232"/>
      <c r="AY17" s="230"/>
      <c r="AZ17" s="231"/>
      <c r="BA17" s="231"/>
      <c r="BB17" s="231"/>
      <c r="BC17" s="231"/>
      <c r="BD17" s="231"/>
      <c r="BE17" s="231"/>
      <c r="BF17" s="231"/>
      <c r="BG17" s="232"/>
      <c r="BH17" s="230"/>
      <c r="BI17" s="231"/>
      <c r="BJ17" s="232"/>
      <c r="BK17" s="136"/>
      <c r="BL17" s="136"/>
      <c r="BM17" s="136"/>
      <c r="BN17" s="136"/>
      <c r="BO17" s="136"/>
      <c r="BP17" s="136"/>
      <c r="BQ17" s="136"/>
      <c r="BR17" s="136"/>
      <c r="BS17" s="136"/>
      <c r="BT17" s="136"/>
      <c r="BU17" s="136"/>
      <c r="BV17" s="136"/>
      <c r="BW17" s="136"/>
      <c r="BX17" s="230"/>
      <c r="BY17" s="231"/>
      <c r="BZ17" s="232"/>
      <c r="CA17" s="68" t="s">
        <v>215</v>
      </c>
      <c r="CB17" s="71" t="s">
        <v>214</v>
      </c>
      <c r="CC17" s="136"/>
      <c r="CD17" s="136"/>
      <c r="CE17" s="136"/>
      <c r="CF17" s="230"/>
      <c r="CG17" s="231"/>
      <c r="CH17" s="231"/>
      <c r="CI17" s="232"/>
      <c r="CJ17" s="230"/>
      <c r="CK17" s="231"/>
      <c r="CL17" s="231"/>
      <c r="CM17" s="231"/>
      <c r="CN17" s="231"/>
      <c r="CO17" s="231"/>
      <c r="CP17" s="232"/>
      <c r="CQ17" s="136"/>
      <c r="CR17" s="136"/>
      <c r="CS17" s="136"/>
      <c r="CT17" s="136"/>
      <c r="CU17" s="136"/>
      <c r="CV17" s="136"/>
      <c r="CW17" s="136"/>
      <c r="CX17" s="136"/>
      <c r="CY17" s="136"/>
      <c r="CZ17" s="136"/>
      <c r="DA17" s="136"/>
      <c r="DB17" s="136"/>
      <c r="DC17" s="136"/>
      <c r="DD17" s="136"/>
      <c r="DE17" s="136"/>
      <c r="DF17" s="227"/>
      <c r="DG17" s="145"/>
      <c r="DH17" s="146"/>
      <c r="DI17" s="146"/>
      <c r="DJ17" s="146"/>
      <c r="DK17" s="146"/>
      <c r="DL17" s="146"/>
      <c r="DM17" s="146"/>
      <c r="DN17" s="146"/>
      <c r="DO17" s="146"/>
      <c r="DP17" s="146"/>
      <c r="DQ17" s="146"/>
      <c r="DR17" s="146"/>
      <c r="DS17" s="146"/>
      <c r="DT17" s="146"/>
      <c r="DU17" s="146"/>
      <c r="DV17" s="147"/>
      <c r="DW17" s="147"/>
      <c r="DX17" s="147"/>
      <c r="DY17" s="147"/>
      <c r="DZ17" s="148"/>
      <c r="EU17" t="s">
        <v>142</v>
      </c>
      <c r="EY17" s="78" t="s">
        <v>229</v>
      </c>
      <c r="FB17" s="94" t="s">
        <v>299</v>
      </c>
      <c r="FC17" s="94" t="s">
        <v>299</v>
      </c>
      <c r="FD17" s="94" t="s">
        <v>300</v>
      </c>
      <c r="FE17" s="98">
        <v>1739</v>
      </c>
    </row>
    <row r="18" spans="2:161" s="69" customFormat="1" ht="20.100000000000001" customHeight="1" thickBot="1">
      <c r="B18" s="261"/>
      <c r="C18" s="262"/>
      <c r="D18" s="262"/>
      <c r="E18" s="262"/>
      <c r="F18" s="263"/>
      <c r="G18" s="185"/>
      <c r="H18" s="186"/>
      <c r="I18" s="186"/>
      <c r="J18" s="186"/>
      <c r="K18" s="159"/>
      <c r="L18" s="159"/>
      <c r="M18" s="159"/>
      <c r="N18" s="159"/>
      <c r="O18" s="159"/>
      <c r="P18" s="159"/>
      <c r="Q18" s="159"/>
      <c r="R18" s="72" t="s">
        <v>54</v>
      </c>
      <c r="S18" s="235"/>
      <c r="T18" s="235"/>
      <c r="U18" s="72" t="s">
        <v>55</v>
      </c>
      <c r="V18" s="73" t="s">
        <v>51</v>
      </c>
      <c r="W18" s="238"/>
      <c r="X18" s="238"/>
      <c r="Y18" s="72" t="s">
        <v>55</v>
      </c>
      <c r="Z18" s="235"/>
      <c r="AA18" s="235"/>
      <c r="AB18" s="235"/>
      <c r="AC18" s="235"/>
      <c r="AD18" s="235"/>
      <c r="AE18" s="235"/>
      <c r="AF18" s="235"/>
      <c r="AG18" s="73" t="s">
        <v>51</v>
      </c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230"/>
      <c r="AT18" s="231"/>
      <c r="AU18" s="231"/>
      <c r="AV18" s="231"/>
      <c r="AW18" s="231"/>
      <c r="AX18" s="232"/>
      <c r="AY18" s="230"/>
      <c r="AZ18" s="231"/>
      <c r="BA18" s="231"/>
      <c r="BB18" s="231"/>
      <c r="BC18" s="231"/>
      <c r="BD18" s="231"/>
      <c r="BE18" s="231"/>
      <c r="BF18" s="231"/>
      <c r="BG18" s="232"/>
      <c r="BH18" s="230"/>
      <c r="BI18" s="231"/>
      <c r="BJ18" s="232"/>
      <c r="BK18" s="159"/>
      <c r="BL18" s="159"/>
      <c r="BM18" s="159"/>
      <c r="BN18" s="159"/>
      <c r="BO18" s="159"/>
      <c r="BP18" s="159"/>
      <c r="BQ18" s="159"/>
      <c r="BR18" s="159"/>
      <c r="BS18" s="159"/>
      <c r="BT18" s="159"/>
      <c r="BU18" s="159"/>
      <c r="BV18" s="159"/>
      <c r="BW18" s="159"/>
      <c r="BX18" s="230"/>
      <c r="BY18" s="231"/>
      <c r="BZ18" s="232"/>
      <c r="CA18" s="68" t="s">
        <v>217</v>
      </c>
      <c r="CB18" s="73" t="s">
        <v>51</v>
      </c>
      <c r="CC18" s="159"/>
      <c r="CD18" s="159"/>
      <c r="CE18" s="159"/>
      <c r="CF18" s="230"/>
      <c r="CG18" s="231"/>
      <c r="CH18" s="231"/>
      <c r="CI18" s="232"/>
      <c r="CJ18" s="230"/>
      <c r="CK18" s="231"/>
      <c r="CL18" s="231"/>
      <c r="CM18" s="231"/>
      <c r="CN18" s="231"/>
      <c r="CO18" s="231"/>
      <c r="CP18" s="232"/>
      <c r="CQ18" s="159"/>
      <c r="CR18" s="159"/>
      <c r="CS18" s="159"/>
      <c r="CT18" s="136"/>
      <c r="CU18" s="136"/>
      <c r="CV18" s="136"/>
      <c r="CW18" s="159"/>
      <c r="CX18" s="159"/>
      <c r="CY18" s="159"/>
      <c r="CZ18" s="159"/>
      <c r="DA18" s="159"/>
      <c r="DB18" s="159"/>
      <c r="DC18" s="159"/>
      <c r="DD18" s="159"/>
      <c r="DE18" s="159"/>
      <c r="DF18" s="160"/>
      <c r="DG18" s="149"/>
      <c r="DH18" s="150"/>
      <c r="DI18" s="150"/>
      <c r="DJ18" s="150"/>
      <c r="DK18" s="150"/>
      <c r="DL18" s="150"/>
      <c r="DM18" s="150"/>
      <c r="DN18" s="150"/>
      <c r="DO18" s="150"/>
      <c r="DP18" s="150"/>
      <c r="DQ18" s="150"/>
      <c r="DR18" s="150"/>
      <c r="DS18" s="150"/>
      <c r="DT18" s="150"/>
      <c r="DU18" s="150"/>
      <c r="DV18" s="143"/>
      <c r="DW18" s="143"/>
      <c r="DX18" s="143"/>
      <c r="DY18" s="143"/>
      <c r="DZ18" s="144"/>
      <c r="EU18" s="69" t="s">
        <v>141</v>
      </c>
      <c r="EY18" s="78"/>
      <c r="FB18" s="94" t="s">
        <v>301</v>
      </c>
      <c r="FC18" s="94" t="s">
        <v>301</v>
      </c>
      <c r="FD18" s="94" t="s">
        <v>302</v>
      </c>
      <c r="FE18" s="98">
        <v>1742</v>
      </c>
    </row>
    <row r="19" spans="2:161" s="69" customFormat="1" ht="20.100000000000001" customHeight="1">
      <c r="B19" s="191" t="s">
        <v>26</v>
      </c>
      <c r="C19" s="183"/>
      <c r="D19" s="183"/>
      <c r="E19" s="183"/>
      <c r="F19" s="184"/>
      <c r="G19" s="203" t="s">
        <v>20</v>
      </c>
      <c r="H19" s="127"/>
      <c r="I19" s="127"/>
      <c r="J19" s="127"/>
      <c r="K19" s="127" t="s">
        <v>40</v>
      </c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127" t="s">
        <v>44</v>
      </c>
      <c r="AQ19" s="127"/>
      <c r="AR19" s="127"/>
      <c r="AS19" s="127"/>
      <c r="AT19" s="127"/>
      <c r="AU19" s="127"/>
      <c r="AV19" s="127"/>
      <c r="AW19" s="127"/>
      <c r="AX19" s="127"/>
      <c r="AY19" s="127"/>
      <c r="AZ19" s="127"/>
      <c r="BA19" s="127"/>
      <c r="BB19" s="127"/>
      <c r="BC19" s="127"/>
      <c r="BD19" s="127"/>
      <c r="BE19" s="127"/>
      <c r="BF19" s="127"/>
      <c r="BG19" s="127" t="s">
        <v>41</v>
      </c>
      <c r="BH19" s="127"/>
      <c r="BI19" s="127"/>
      <c r="BJ19" s="127"/>
      <c r="BK19" s="127"/>
      <c r="BL19" s="127" t="s">
        <v>42</v>
      </c>
      <c r="BM19" s="127"/>
      <c r="BN19" s="127"/>
      <c r="BO19" s="127"/>
      <c r="BP19" s="127"/>
      <c r="BQ19" s="127"/>
      <c r="BR19" s="127"/>
      <c r="BS19" s="127"/>
      <c r="BT19" s="127"/>
      <c r="BU19" s="127"/>
      <c r="BV19" s="127"/>
      <c r="BW19" s="127"/>
      <c r="BX19" s="127"/>
      <c r="BY19" s="127"/>
      <c r="BZ19" s="127"/>
      <c r="CA19" s="127"/>
      <c r="CB19" s="127"/>
      <c r="CC19" s="127"/>
      <c r="CD19" s="127"/>
      <c r="CE19" s="127"/>
      <c r="CF19" s="127"/>
      <c r="CG19" s="127"/>
      <c r="CH19" s="127"/>
      <c r="CI19" s="127"/>
      <c r="CJ19" s="127"/>
      <c r="CK19" s="127"/>
      <c r="CL19" s="127"/>
      <c r="CM19" s="127"/>
      <c r="CN19" s="127"/>
      <c r="CO19" s="127"/>
      <c r="CP19" s="127"/>
      <c r="CQ19" s="127"/>
      <c r="CR19" s="127"/>
      <c r="CS19" s="127"/>
      <c r="CT19" s="127"/>
      <c r="CU19" s="127"/>
      <c r="CV19" s="127"/>
      <c r="CW19" s="127"/>
      <c r="CX19" s="127"/>
      <c r="CY19" s="127"/>
      <c r="CZ19" s="127"/>
      <c r="DA19" s="127"/>
      <c r="DB19" s="127"/>
      <c r="DC19" s="127"/>
      <c r="DD19" s="127"/>
      <c r="DE19" s="127"/>
      <c r="DF19" s="127"/>
      <c r="DG19" s="127"/>
      <c r="DH19" s="127"/>
      <c r="DI19" s="127"/>
      <c r="DJ19" s="127"/>
      <c r="DK19" s="127"/>
      <c r="DL19" s="127"/>
      <c r="DM19" s="127"/>
      <c r="DN19" s="127"/>
      <c r="DO19" s="127"/>
      <c r="DP19" s="127"/>
      <c r="DQ19" s="127"/>
      <c r="DR19" s="127"/>
      <c r="DS19" s="127"/>
      <c r="DT19" s="127"/>
      <c r="DU19" s="127"/>
      <c r="DV19" s="127"/>
      <c r="DW19" s="127"/>
      <c r="DX19" s="127"/>
      <c r="DY19" s="127"/>
      <c r="DZ19" s="216"/>
      <c r="EU19" s="69" t="s">
        <v>216</v>
      </c>
      <c r="EY19" s="78" t="s">
        <v>167</v>
      </c>
      <c r="FB19" s="94" t="s">
        <v>303</v>
      </c>
      <c r="FC19" s="94" t="s">
        <v>303</v>
      </c>
      <c r="FD19" s="94" t="s">
        <v>304</v>
      </c>
      <c r="FE19" s="98">
        <v>1740</v>
      </c>
    </row>
    <row r="20" spans="2:161" s="69" customFormat="1" ht="20.100000000000001" customHeight="1">
      <c r="B20" s="210"/>
      <c r="C20" s="211"/>
      <c r="D20" s="211"/>
      <c r="E20" s="211"/>
      <c r="F20" s="212"/>
      <c r="G20" s="217" t="s">
        <v>811</v>
      </c>
      <c r="H20" s="133"/>
      <c r="I20" s="133"/>
      <c r="J20" s="133"/>
      <c r="K20" s="218" t="s">
        <v>812</v>
      </c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2" t="s">
        <v>813</v>
      </c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33"/>
      <c r="BE20" s="133"/>
      <c r="BF20" s="133"/>
      <c r="BG20" s="133" t="s">
        <v>108</v>
      </c>
      <c r="BH20" s="133"/>
      <c r="BI20" s="133"/>
      <c r="BJ20" s="133"/>
      <c r="BK20" s="133"/>
      <c r="BL20" s="207"/>
      <c r="BM20" s="219"/>
      <c r="BN20" s="219"/>
      <c r="BO20" s="219"/>
      <c r="BP20" s="219"/>
      <c r="BQ20" s="219"/>
      <c r="BR20" s="219"/>
      <c r="BS20" s="219"/>
      <c r="BT20" s="219"/>
      <c r="BU20" s="219"/>
      <c r="BV20" s="219"/>
      <c r="BW20" s="219"/>
      <c r="BX20" s="219"/>
      <c r="BY20" s="219"/>
      <c r="BZ20" s="219"/>
      <c r="CA20" s="219"/>
      <c r="CB20" s="219"/>
      <c r="CC20" s="219"/>
      <c r="CD20" s="219"/>
      <c r="CE20" s="219"/>
      <c r="CF20" s="219"/>
      <c r="CG20" s="219"/>
      <c r="CH20" s="219"/>
      <c r="CI20" s="219"/>
      <c r="CJ20" s="219"/>
      <c r="CK20" s="219"/>
      <c r="CL20" s="219"/>
      <c r="CM20" s="219"/>
      <c r="CN20" s="219"/>
      <c r="CO20" s="219"/>
      <c r="CP20" s="219"/>
      <c r="CQ20" s="219"/>
      <c r="CR20" s="219"/>
      <c r="CS20" s="219"/>
      <c r="CT20" s="219"/>
      <c r="CU20" s="219"/>
      <c r="CV20" s="219"/>
      <c r="CW20" s="219"/>
      <c r="CX20" s="219"/>
      <c r="CY20" s="219"/>
      <c r="CZ20" s="219"/>
      <c r="DA20" s="219"/>
      <c r="DB20" s="219"/>
      <c r="DC20" s="219"/>
      <c r="DD20" s="219"/>
      <c r="DE20" s="219"/>
      <c r="DF20" s="219"/>
      <c r="DG20" s="219"/>
      <c r="DH20" s="219"/>
      <c r="DI20" s="219"/>
      <c r="DJ20" s="219"/>
      <c r="DK20" s="219"/>
      <c r="DL20" s="219"/>
      <c r="DM20" s="219"/>
      <c r="DN20" s="219"/>
      <c r="DO20" s="219"/>
      <c r="DP20" s="219"/>
      <c r="DQ20" s="219"/>
      <c r="DR20" s="219"/>
      <c r="DS20" s="219"/>
      <c r="DT20" s="219"/>
      <c r="DU20" s="219"/>
      <c r="DV20" s="219"/>
      <c r="DW20" s="219"/>
      <c r="DX20" s="219"/>
      <c r="DY20" s="219"/>
      <c r="DZ20" s="220"/>
      <c r="EU20" t="s">
        <v>244</v>
      </c>
      <c r="EY20" s="78"/>
      <c r="FB20" s="94" t="s">
        <v>305</v>
      </c>
      <c r="FC20" s="94" t="s">
        <v>305</v>
      </c>
      <c r="FD20" s="94" t="s">
        <v>306</v>
      </c>
      <c r="FE20" s="98">
        <v>1614</v>
      </c>
    </row>
    <row r="21" spans="2:161" s="69" customFormat="1" ht="20.100000000000001" customHeight="1">
      <c r="B21" s="210"/>
      <c r="C21" s="211"/>
      <c r="D21" s="211"/>
      <c r="E21" s="211"/>
      <c r="F21" s="212"/>
      <c r="G21" s="217" t="s">
        <v>811</v>
      </c>
      <c r="H21" s="133"/>
      <c r="I21" s="133"/>
      <c r="J21" s="133"/>
      <c r="K21" s="132" t="s">
        <v>812</v>
      </c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2" t="s">
        <v>814</v>
      </c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 t="s">
        <v>108</v>
      </c>
      <c r="BH21" s="133"/>
      <c r="BI21" s="133"/>
      <c r="BJ21" s="133"/>
      <c r="BK21" s="133"/>
      <c r="BL21" s="207"/>
      <c r="BM21" s="219"/>
      <c r="BN21" s="219"/>
      <c r="BO21" s="219"/>
      <c r="BP21" s="219"/>
      <c r="BQ21" s="219"/>
      <c r="BR21" s="219"/>
      <c r="BS21" s="219"/>
      <c r="BT21" s="219"/>
      <c r="BU21" s="219"/>
      <c r="BV21" s="219"/>
      <c r="BW21" s="219"/>
      <c r="BX21" s="219"/>
      <c r="BY21" s="219"/>
      <c r="BZ21" s="219"/>
      <c r="CA21" s="219"/>
      <c r="CB21" s="219"/>
      <c r="CC21" s="219"/>
      <c r="CD21" s="219"/>
      <c r="CE21" s="219"/>
      <c r="CF21" s="219"/>
      <c r="CG21" s="219"/>
      <c r="CH21" s="219"/>
      <c r="CI21" s="219"/>
      <c r="CJ21" s="219"/>
      <c r="CK21" s="219"/>
      <c r="CL21" s="219"/>
      <c r="CM21" s="219"/>
      <c r="CN21" s="219"/>
      <c r="CO21" s="219"/>
      <c r="CP21" s="219"/>
      <c r="CQ21" s="219"/>
      <c r="CR21" s="219"/>
      <c r="CS21" s="219"/>
      <c r="CT21" s="219"/>
      <c r="CU21" s="219"/>
      <c r="CV21" s="219"/>
      <c r="CW21" s="219"/>
      <c r="CX21" s="219"/>
      <c r="CY21" s="219"/>
      <c r="CZ21" s="219"/>
      <c r="DA21" s="219"/>
      <c r="DB21" s="219"/>
      <c r="DC21" s="219"/>
      <c r="DD21" s="219"/>
      <c r="DE21" s="219"/>
      <c r="DF21" s="219"/>
      <c r="DG21" s="219"/>
      <c r="DH21" s="219"/>
      <c r="DI21" s="219"/>
      <c r="DJ21" s="219"/>
      <c r="DK21" s="219"/>
      <c r="DL21" s="219"/>
      <c r="DM21" s="219"/>
      <c r="DN21" s="219"/>
      <c r="DO21" s="219"/>
      <c r="DP21" s="219"/>
      <c r="DQ21" s="219"/>
      <c r="DR21" s="219"/>
      <c r="DS21" s="219"/>
      <c r="DT21" s="219"/>
      <c r="DU21" s="219"/>
      <c r="DV21" s="219"/>
      <c r="DW21" s="219"/>
      <c r="DX21" s="219"/>
      <c r="DY21" s="219"/>
      <c r="DZ21" s="220"/>
      <c r="EU21" t="s">
        <v>243</v>
      </c>
      <c r="EY21" s="78"/>
      <c r="FB21" s="94" t="s">
        <v>307</v>
      </c>
      <c r="FC21" s="94" t="s">
        <v>308</v>
      </c>
      <c r="FD21" s="94" t="s">
        <v>309</v>
      </c>
      <c r="FE21" s="98">
        <v>1798</v>
      </c>
    </row>
    <row r="22" spans="2:161" s="69" customFormat="1" ht="20.100000000000001" customHeight="1">
      <c r="B22" s="210"/>
      <c r="C22" s="211"/>
      <c r="D22" s="211"/>
      <c r="E22" s="211"/>
      <c r="F22" s="212"/>
      <c r="G22" s="201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202"/>
      <c r="BL22" s="128"/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8"/>
      <c r="CC22" s="128"/>
      <c r="CD22" s="128"/>
      <c r="CE22" s="128"/>
      <c r="CF22" s="128"/>
      <c r="CG22" s="128"/>
      <c r="CH22" s="128"/>
      <c r="CI22" s="128"/>
      <c r="CJ22" s="128"/>
      <c r="CK22" s="128"/>
      <c r="CL22" s="128"/>
      <c r="CM22" s="128"/>
      <c r="CN22" s="128"/>
      <c r="CO22" s="128"/>
      <c r="CP22" s="128"/>
      <c r="CQ22" s="128"/>
      <c r="CR22" s="128"/>
      <c r="CS22" s="128"/>
      <c r="CT22" s="128"/>
      <c r="CU22" s="128"/>
      <c r="CV22" s="128"/>
      <c r="CW22" s="128"/>
      <c r="CX22" s="128"/>
      <c r="CY22" s="128"/>
      <c r="CZ22" s="128"/>
      <c r="DA22" s="128"/>
      <c r="DB22" s="128"/>
      <c r="DC22" s="128"/>
      <c r="DD22" s="128"/>
      <c r="DE22" s="128"/>
      <c r="DF22" s="128"/>
      <c r="DG22" s="128"/>
      <c r="DH22" s="128"/>
      <c r="DI22" s="128"/>
      <c r="DJ22" s="128"/>
      <c r="DK22" s="128"/>
      <c r="DL22" s="128"/>
      <c r="DM22" s="128"/>
      <c r="DN22" s="128"/>
      <c r="DO22" s="128"/>
      <c r="DP22" s="128"/>
      <c r="DQ22" s="128"/>
      <c r="DR22" s="128"/>
      <c r="DS22" s="128"/>
      <c r="DT22" s="128"/>
      <c r="DU22" s="128"/>
      <c r="DV22" s="128"/>
      <c r="DW22" s="128"/>
      <c r="DX22" s="128"/>
      <c r="DY22" s="128"/>
      <c r="DZ22" s="129"/>
      <c r="EU22" s="79" t="s">
        <v>254</v>
      </c>
      <c r="EY22" s="78"/>
      <c r="FB22" s="94" t="s">
        <v>310</v>
      </c>
      <c r="FC22" s="94" t="s">
        <v>310</v>
      </c>
      <c r="FD22" s="94" t="s">
        <v>311</v>
      </c>
      <c r="FE22" s="98" t="s">
        <v>749</v>
      </c>
    </row>
    <row r="23" spans="2:161" s="69" customFormat="1" ht="20.100000000000001" customHeight="1">
      <c r="B23" s="210"/>
      <c r="C23" s="211"/>
      <c r="D23" s="211"/>
      <c r="E23" s="211"/>
      <c r="F23" s="212"/>
      <c r="G23" s="201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202"/>
      <c r="BL23" s="207"/>
      <c r="BM23" s="208"/>
      <c r="BN23" s="208"/>
      <c r="BO23" s="208"/>
      <c r="BP23" s="208"/>
      <c r="BQ23" s="208"/>
      <c r="BR23" s="208"/>
      <c r="BS23" s="208"/>
      <c r="BT23" s="208"/>
      <c r="BU23" s="208"/>
      <c r="BV23" s="208"/>
      <c r="BW23" s="208"/>
      <c r="BX23" s="208"/>
      <c r="BY23" s="208"/>
      <c r="BZ23" s="208"/>
      <c r="CA23" s="208"/>
      <c r="CB23" s="208"/>
      <c r="CC23" s="208"/>
      <c r="CD23" s="208"/>
      <c r="CE23" s="208"/>
      <c r="CF23" s="208"/>
      <c r="CG23" s="208"/>
      <c r="CH23" s="208"/>
      <c r="CI23" s="208"/>
      <c r="CJ23" s="208"/>
      <c r="CK23" s="208"/>
      <c r="CL23" s="208"/>
      <c r="CM23" s="208"/>
      <c r="CN23" s="208"/>
      <c r="CO23" s="208"/>
      <c r="CP23" s="208"/>
      <c r="CQ23" s="208"/>
      <c r="CR23" s="208"/>
      <c r="CS23" s="208"/>
      <c r="CT23" s="208"/>
      <c r="CU23" s="208"/>
      <c r="CV23" s="208"/>
      <c r="CW23" s="208"/>
      <c r="CX23" s="208"/>
      <c r="CY23" s="208"/>
      <c r="CZ23" s="208"/>
      <c r="DA23" s="208"/>
      <c r="DB23" s="208"/>
      <c r="DC23" s="208"/>
      <c r="DD23" s="208"/>
      <c r="DE23" s="208"/>
      <c r="DF23" s="208"/>
      <c r="DG23" s="208"/>
      <c r="DH23" s="208"/>
      <c r="DI23" s="208"/>
      <c r="DJ23" s="208"/>
      <c r="DK23" s="208"/>
      <c r="DL23" s="208"/>
      <c r="DM23" s="208"/>
      <c r="DN23" s="208"/>
      <c r="DO23" s="208"/>
      <c r="DP23" s="208"/>
      <c r="DQ23" s="208"/>
      <c r="DR23" s="208"/>
      <c r="DS23" s="208"/>
      <c r="DT23" s="208"/>
      <c r="DU23" s="208"/>
      <c r="DV23" s="208"/>
      <c r="DW23" s="208"/>
      <c r="DX23" s="208"/>
      <c r="DY23" s="208"/>
      <c r="DZ23" s="209"/>
      <c r="EU23" t="s">
        <v>255</v>
      </c>
      <c r="FB23" s="94" t="s">
        <v>312</v>
      </c>
      <c r="FC23" s="94" t="s">
        <v>313</v>
      </c>
      <c r="FD23" s="94" t="s">
        <v>314</v>
      </c>
      <c r="FE23" s="98">
        <v>6146</v>
      </c>
    </row>
    <row r="24" spans="2:161" s="69" customFormat="1" ht="20.100000000000001" customHeight="1" thickBot="1">
      <c r="B24" s="213"/>
      <c r="C24" s="214"/>
      <c r="D24" s="214"/>
      <c r="E24" s="214"/>
      <c r="F24" s="215"/>
      <c r="G24" s="222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59"/>
      <c r="BG24" s="159"/>
      <c r="BH24" s="159"/>
      <c r="BI24" s="159"/>
      <c r="BJ24" s="159"/>
      <c r="BK24" s="159"/>
      <c r="BL24" s="125"/>
      <c r="BM24" s="125"/>
      <c r="BN24" s="125"/>
      <c r="BO24" s="125"/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25"/>
      <c r="CC24" s="125"/>
      <c r="CD24" s="125"/>
      <c r="CE24" s="125"/>
      <c r="CF24" s="125"/>
      <c r="CG24" s="125"/>
      <c r="CH24" s="125"/>
      <c r="CI24" s="125"/>
      <c r="CJ24" s="125"/>
      <c r="CK24" s="125"/>
      <c r="CL24" s="125"/>
      <c r="CM24" s="125"/>
      <c r="CN24" s="125"/>
      <c r="CO24" s="125"/>
      <c r="CP24" s="125"/>
      <c r="CQ24" s="125"/>
      <c r="CR24" s="125"/>
      <c r="CS24" s="125"/>
      <c r="CT24" s="125"/>
      <c r="CU24" s="125"/>
      <c r="CV24" s="125"/>
      <c r="CW24" s="125"/>
      <c r="CX24" s="125"/>
      <c r="CY24" s="125"/>
      <c r="CZ24" s="125"/>
      <c r="DA24" s="125"/>
      <c r="DB24" s="125"/>
      <c r="DC24" s="125"/>
      <c r="DD24" s="125"/>
      <c r="DE24" s="125"/>
      <c r="DF24" s="125"/>
      <c r="DG24" s="125"/>
      <c r="DH24" s="125"/>
      <c r="DI24" s="125"/>
      <c r="DJ24" s="125"/>
      <c r="DK24" s="125"/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125"/>
      <c r="DY24" s="125"/>
      <c r="DZ24" s="126"/>
      <c r="EU24" t="s">
        <v>256</v>
      </c>
      <c r="FB24" s="94" t="s">
        <v>315</v>
      </c>
      <c r="FC24" s="94" t="s">
        <v>316</v>
      </c>
      <c r="FD24" s="94" t="s">
        <v>317</v>
      </c>
      <c r="FE24" s="98">
        <v>6148</v>
      </c>
    </row>
    <row r="25" spans="2:161" s="69" customFormat="1" ht="20.100000000000001" customHeight="1">
      <c r="B25" s="191" t="s">
        <v>43</v>
      </c>
      <c r="C25" s="192"/>
      <c r="D25" s="192"/>
      <c r="E25" s="192"/>
      <c r="F25" s="193"/>
      <c r="G25" s="203" t="s">
        <v>45</v>
      </c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204"/>
      <c r="X25" s="127" t="s">
        <v>41</v>
      </c>
      <c r="Y25" s="127"/>
      <c r="Z25" s="127"/>
      <c r="AA25" s="127"/>
      <c r="AB25" s="127"/>
      <c r="AC25" s="131" t="s">
        <v>46</v>
      </c>
      <c r="AD25" s="131"/>
      <c r="AE25" s="131"/>
      <c r="AF25" s="131"/>
      <c r="AG25" s="131"/>
      <c r="AH25" s="131"/>
      <c r="AI25" s="131"/>
      <c r="AJ25" s="131" t="s">
        <v>47</v>
      </c>
      <c r="AK25" s="131"/>
      <c r="AL25" s="131"/>
      <c r="AM25" s="131"/>
      <c r="AN25" s="131"/>
      <c r="AO25" s="131"/>
      <c r="AP25" s="131"/>
      <c r="AQ25" s="183" t="s">
        <v>42</v>
      </c>
      <c r="AR25" s="183"/>
      <c r="AS25" s="183"/>
      <c r="AT25" s="183"/>
      <c r="AU25" s="183"/>
      <c r="AV25" s="183"/>
      <c r="AW25" s="183"/>
      <c r="AX25" s="183"/>
      <c r="AY25" s="183"/>
      <c r="AZ25" s="183"/>
      <c r="BA25" s="183"/>
      <c r="BB25" s="183"/>
      <c r="BC25" s="183"/>
      <c r="BD25" s="183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3"/>
      <c r="BZ25" s="183"/>
      <c r="CA25" s="183"/>
      <c r="CB25" s="183"/>
      <c r="CC25" s="183"/>
      <c r="CD25" s="183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  <c r="CS25" s="183"/>
      <c r="CT25" s="183"/>
      <c r="CU25" s="183"/>
      <c r="CV25" s="183"/>
      <c r="CW25" s="183"/>
      <c r="CX25" s="183"/>
      <c r="CY25" s="183"/>
      <c r="CZ25" s="183"/>
      <c r="DA25" s="183"/>
      <c r="DB25" s="183"/>
      <c r="DC25" s="183"/>
      <c r="DD25" s="183"/>
      <c r="DE25" s="183"/>
      <c r="DF25" s="183"/>
      <c r="DG25" s="183"/>
      <c r="DH25" s="183"/>
      <c r="DI25" s="183"/>
      <c r="DJ25" s="183"/>
      <c r="DK25" s="183"/>
      <c r="DL25" s="183"/>
      <c r="DM25" s="183"/>
      <c r="DN25" s="183"/>
      <c r="DO25" s="183"/>
      <c r="DP25" s="183"/>
      <c r="DQ25" s="183"/>
      <c r="DR25" s="183"/>
      <c r="DS25" s="183"/>
      <c r="DT25" s="183"/>
      <c r="DU25" s="183"/>
      <c r="DV25" s="183"/>
      <c r="DW25" s="183"/>
      <c r="DX25" s="183"/>
      <c r="DY25" s="183"/>
      <c r="DZ25" s="184"/>
      <c r="EU25" t="s">
        <v>257</v>
      </c>
      <c r="FB25" s="94" t="s">
        <v>318</v>
      </c>
      <c r="FC25" s="94" t="s">
        <v>318</v>
      </c>
      <c r="FD25" s="94" t="s">
        <v>319</v>
      </c>
      <c r="FE25" s="98">
        <v>6208</v>
      </c>
    </row>
    <row r="26" spans="2:161" s="69" customFormat="1" ht="20.100000000000001" customHeight="1">
      <c r="B26" s="194"/>
      <c r="C26" s="195"/>
      <c r="D26" s="195"/>
      <c r="E26" s="195"/>
      <c r="F26" s="196"/>
      <c r="G26" s="187" t="s">
        <v>813</v>
      </c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9"/>
      <c r="X26" s="190" t="s">
        <v>108</v>
      </c>
      <c r="Y26" s="190"/>
      <c r="Z26" s="190"/>
      <c r="AA26" s="190"/>
      <c r="AB26" s="190"/>
      <c r="AC26" s="130">
        <v>85000</v>
      </c>
      <c r="AD26" s="130"/>
      <c r="AE26" s="130"/>
      <c r="AF26" s="130"/>
      <c r="AG26" s="130"/>
      <c r="AH26" s="130"/>
      <c r="AI26" s="130"/>
      <c r="AJ26" s="130">
        <v>5500</v>
      </c>
      <c r="AK26" s="130"/>
      <c r="AL26" s="130"/>
      <c r="AM26" s="130"/>
      <c r="AN26" s="130"/>
      <c r="AO26" s="130"/>
      <c r="AP26" s="130"/>
      <c r="AQ26" s="123" t="s">
        <v>218</v>
      </c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4"/>
      <c r="EU26" t="s">
        <v>258</v>
      </c>
      <c r="FB26" s="94" t="s">
        <v>320</v>
      </c>
      <c r="FC26" s="94" t="s">
        <v>320</v>
      </c>
      <c r="FD26" s="94" t="s">
        <v>321</v>
      </c>
      <c r="FE26" s="98">
        <v>6147</v>
      </c>
    </row>
    <row r="27" spans="2:161" s="69" customFormat="1" ht="20.100000000000001" customHeight="1">
      <c r="B27" s="194"/>
      <c r="C27" s="195"/>
      <c r="D27" s="195"/>
      <c r="E27" s="195"/>
      <c r="F27" s="196"/>
      <c r="G27" s="205" t="s">
        <v>815</v>
      </c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190" t="s">
        <v>108</v>
      </c>
      <c r="Y27" s="190"/>
      <c r="Z27" s="190"/>
      <c r="AA27" s="190"/>
      <c r="AB27" s="190"/>
      <c r="AC27" s="130">
        <v>80000</v>
      </c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23" t="s">
        <v>219</v>
      </c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4"/>
      <c r="EU27" t="s">
        <v>259</v>
      </c>
      <c r="FB27" s="94" t="s">
        <v>322</v>
      </c>
      <c r="FC27" s="94" t="s">
        <v>322</v>
      </c>
      <c r="FD27" s="94" t="s">
        <v>323</v>
      </c>
      <c r="FE27" s="98">
        <v>1085</v>
      </c>
    </row>
    <row r="28" spans="2:161" s="69" customFormat="1" ht="20.100000000000001" customHeight="1">
      <c r="B28" s="194"/>
      <c r="C28" s="195"/>
      <c r="D28" s="195"/>
      <c r="E28" s="195"/>
      <c r="F28" s="196"/>
      <c r="G28" s="134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6"/>
      <c r="Y28" s="136"/>
      <c r="Z28" s="136"/>
      <c r="AA28" s="136"/>
      <c r="AB28" s="136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23" t="s">
        <v>220</v>
      </c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4"/>
      <c r="FB28" s="94" t="s">
        <v>324</v>
      </c>
      <c r="FC28" s="94" t="s">
        <v>325</v>
      </c>
      <c r="FD28" s="94" t="s">
        <v>326</v>
      </c>
      <c r="FE28" s="98">
        <v>1418</v>
      </c>
    </row>
    <row r="29" spans="2:161" s="69" customFormat="1" ht="20.100000000000001" customHeight="1">
      <c r="B29" s="194"/>
      <c r="C29" s="195"/>
      <c r="D29" s="195"/>
      <c r="E29" s="195"/>
      <c r="F29" s="196"/>
      <c r="G29" s="134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6"/>
      <c r="Y29" s="136"/>
      <c r="Z29" s="136"/>
      <c r="AA29" s="136"/>
      <c r="AB29" s="136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23" t="s">
        <v>221</v>
      </c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4"/>
      <c r="EU29" s="69" t="s">
        <v>225</v>
      </c>
      <c r="FB29" s="94" t="s">
        <v>327</v>
      </c>
      <c r="FC29" s="94" t="s">
        <v>327</v>
      </c>
      <c r="FD29" s="94" t="s">
        <v>328</v>
      </c>
      <c r="FE29" s="98">
        <v>1437</v>
      </c>
    </row>
    <row r="30" spans="2:161" s="69" customFormat="1" ht="20.100000000000001" customHeight="1">
      <c r="B30" s="194"/>
      <c r="C30" s="195"/>
      <c r="D30" s="195"/>
      <c r="E30" s="195"/>
      <c r="F30" s="196"/>
      <c r="G30" s="134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6"/>
      <c r="Y30" s="136"/>
      <c r="Z30" s="136"/>
      <c r="AA30" s="136"/>
      <c r="AB30" s="136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23" t="s">
        <v>221</v>
      </c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4"/>
      <c r="EU30" s="69" t="s">
        <v>226</v>
      </c>
      <c r="FB30" s="94" t="s">
        <v>329</v>
      </c>
      <c r="FC30" s="94" t="s">
        <v>330</v>
      </c>
      <c r="FD30" s="94" t="s">
        <v>331</v>
      </c>
      <c r="FE30" s="98">
        <v>3837</v>
      </c>
    </row>
    <row r="31" spans="2:161" s="69" customFormat="1" ht="20.100000000000001" customHeight="1" thickBot="1">
      <c r="B31" s="197"/>
      <c r="C31" s="198"/>
      <c r="D31" s="198"/>
      <c r="E31" s="198"/>
      <c r="F31" s="199"/>
      <c r="G31" s="185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59"/>
      <c r="Y31" s="159"/>
      <c r="Z31" s="159"/>
      <c r="AA31" s="159"/>
      <c r="AB31" s="159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00"/>
      <c r="AP31" s="200"/>
      <c r="AQ31" s="121" t="s">
        <v>221</v>
      </c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  <c r="CY31" s="121"/>
      <c r="CZ31" s="121"/>
      <c r="DA31" s="121"/>
      <c r="DB31" s="121"/>
      <c r="DC31" s="121"/>
      <c r="DD31" s="121"/>
      <c r="DE31" s="121"/>
      <c r="DF31" s="121"/>
      <c r="DG31" s="121"/>
      <c r="DH31" s="121"/>
      <c r="DI31" s="121"/>
      <c r="DJ31" s="121"/>
      <c r="DK31" s="121"/>
      <c r="DL31" s="121"/>
      <c r="DM31" s="121"/>
      <c r="DN31" s="121"/>
      <c r="DO31" s="121"/>
      <c r="DP31" s="121"/>
      <c r="DQ31" s="121"/>
      <c r="DR31" s="121"/>
      <c r="DS31" s="121"/>
      <c r="DT31" s="121"/>
      <c r="DU31" s="121"/>
      <c r="DV31" s="121"/>
      <c r="DW31" s="121"/>
      <c r="DX31" s="121"/>
      <c r="DY31" s="121"/>
      <c r="DZ31" s="122"/>
      <c r="EU31" s="69" t="s">
        <v>144</v>
      </c>
      <c r="FB31" s="94" t="s">
        <v>332</v>
      </c>
      <c r="FC31" s="94" t="s">
        <v>332</v>
      </c>
      <c r="FD31" s="94" t="s">
        <v>333</v>
      </c>
      <c r="FE31" s="98" t="s">
        <v>750</v>
      </c>
    </row>
    <row r="32" spans="2:161" s="69" customFormat="1" ht="20.100000000000001" customHeight="1" thickBot="1">
      <c r="B32" s="191" t="s">
        <v>10</v>
      </c>
      <c r="C32" s="183"/>
      <c r="D32" s="183"/>
      <c r="E32" s="183"/>
      <c r="F32" s="184"/>
      <c r="G32" s="352"/>
      <c r="H32" s="353"/>
      <c r="I32" s="353"/>
      <c r="J32" s="353"/>
      <c r="K32" s="353"/>
      <c r="L32" s="353"/>
      <c r="M32" s="453"/>
      <c r="N32" s="453"/>
      <c r="O32" s="453"/>
      <c r="P32" s="453"/>
      <c r="Q32" s="453"/>
      <c r="R32" s="453"/>
      <c r="S32" s="453"/>
      <c r="T32" s="453"/>
      <c r="U32" s="453"/>
      <c r="V32" s="453"/>
      <c r="W32" s="453"/>
      <c r="X32" s="453"/>
      <c r="Y32" s="453"/>
      <c r="Z32" s="453"/>
      <c r="AA32" s="453"/>
      <c r="AB32" s="453"/>
      <c r="AC32" s="453"/>
      <c r="AD32" s="453"/>
      <c r="AE32" s="453"/>
      <c r="AF32" s="453"/>
      <c r="AG32" s="453"/>
      <c r="AH32" s="453"/>
      <c r="AI32" s="453"/>
      <c r="AJ32" s="453"/>
      <c r="AK32" s="453"/>
      <c r="AL32" s="453"/>
      <c r="AM32" s="453"/>
      <c r="AN32" s="453"/>
      <c r="AO32" s="453"/>
      <c r="AP32" s="453"/>
      <c r="AQ32" s="453"/>
      <c r="AR32" s="453"/>
      <c r="AS32" s="453"/>
      <c r="AT32" s="453"/>
      <c r="AU32" s="453"/>
      <c r="AV32" s="453"/>
      <c r="AW32" s="453"/>
      <c r="AX32" s="453"/>
      <c r="AY32" s="453"/>
      <c r="AZ32" s="453"/>
      <c r="BA32" s="453"/>
      <c r="BB32" s="453"/>
      <c r="BC32" s="453"/>
      <c r="BD32" s="453"/>
      <c r="BE32" s="453"/>
      <c r="BF32" s="453"/>
      <c r="BG32" s="453"/>
      <c r="BH32" s="453"/>
      <c r="BI32" s="453"/>
      <c r="BJ32" s="453"/>
      <c r="BK32" s="453"/>
      <c r="BL32" s="454"/>
      <c r="BM32" s="442" t="s">
        <v>249</v>
      </c>
      <c r="BN32" s="443"/>
      <c r="BO32" s="443"/>
      <c r="BP32" s="443"/>
      <c r="BQ32" s="443"/>
      <c r="BR32" s="443"/>
      <c r="BS32" s="443"/>
      <c r="BT32" s="443"/>
      <c r="BU32" s="443"/>
      <c r="BV32" s="443"/>
      <c r="BW32" s="443"/>
      <c r="BX32" s="443"/>
      <c r="BY32" s="443"/>
      <c r="BZ32" s="443"/>
      <c r="CA32" s="443"/>
      <c r="CB32" s="443"/>
      <c r="CC32" s="444" t="s">
        <v>247</v>
      </c>
      <c r="CD32" s="444"/>
      <c r="CE32" s="444"/>
      <c r="CF32" s="444"/>
      <c r="CG32" s="444"/>
      <c r="CH32" s="444"/>
      <c r="CI32" s="444"/>
      <c r="CJ32" s="444"/>
      <c r="CK32" s="444"/>
      <c r="CL32" s="443"/>
      <c r="CM32" s="445"/>
      <c r="CN32" s="446"/>
      <c r="CO32" s="447" t="s">
        <v>248</v>
      </c>
      <c r="CP32" s="448"/>
      <c r="CQ32" s="448"/>
      <c r="CR32" s="448"/>
      <c r="CS32" s="448"/>
      <c r="CT32" s="448"/>
      <c r="CU32" s="448"/>
      <c r="CV32" s="448"/>
      <c r="CW32" s="448"/>
      <c r="CX32" s="445"/>
      <c r="CY32" s="446"/>
      <c r="CZ32" s="447" t="s">
        <v>824</v>
      </c>
      <c r="DA32" s="449"/>
      <c r="DB32" s="449"/>
      <c r="DC32" s="449"/>
      <c r="DD32" s="449"/>
      <c r="DE32" s="449"/>
      <c r="DF32" s="449"/>
      <c r="DG32" s="449"/>
      <c r="DH32" s="449"/>
      <c r="DI32" s="449"/>
      <c r="DJ32" s="449"/>
      <c r="DK32" s="449"/>
      <c r="DL32" s="449"/>
      <c r="DM32" s="449"/>
      <c r="DN32" s="449"/>
      <c r="DO32" s="449"/>
      <c r="DP32" s="449"/>
      <c r="DQ32" s="449"/>
      <c r="DR32" s="449"/>
      <c r="DS32" s="449"/>
      <c r="DT32" s="449"/>
      <c r="DU32" s="449"/>
      <c r="DV32" s="449"/>
      <c r="DW32" s="449"/>
      <c r="DX32" s="449"/>
      <c r="DY32" s="445"/>
      <c r="DZ32" s="450"/>
      <c r="EU32" s="69" t="s">
        <v>94</v>
      </c>
      <c r="FB32" s="94" t="s">
        <v>334</v>
      </c>
      <c r="FC32" s="94" t="s">
        <v>334</v>
      </c>
      <c r="FD32" s="94" t="s">
        <v>335</v>
      </c>
      <c r="FE32" s="98" t="s">
        <v>751</v>
      </c>
    </row>
    <row r="33" spans="2:161" ht="20.100000000000001" customHeight="1">
      <c r="B33" s="439"/>
      <c r="C33" s="440"/>
      <c r="D33" s="440"/>
      <c r="E33" s="440"/>
      <c r="F33" s="441"/>
      <c r="G33" s="355"/>
      <c r="H33" s="356"/>
      <c r="I33" s="356"/>
      <c r="J33" s="356"/>
      <c r="K33" s="356"/>
      <c r="L33" s="356"/>
      <c r="M33" s="455"/>
      <c r="N33" s="456"/>
      <c r="O33" s="456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456"/>
      <c r="AW33" s="456"/>
      <c r="AX33" s="456"/>
      <c r="AY33" s="456"/>
      <c r="AZ33" s="456"/>
      <c r="BA33" s="456"/>
      <c r="BB33" s="456"/>
      <c r="BC33" s="456"/>
      <c r="BD33" s="456"/>
      <c r="BE33" s="456"/>
      <c r="BF33" s="456"/>
      <c r="BG33" s="456"/>
      <c r="BH33" s="456"/>
      <c r="BI33" s="456"/>
      <c r="BJ33" s="456"/>
      <c r="BK33" s="456"/>
      <c r="BL33" s="456"/>
      <c r="BM33" s="457"/>
      <c r="BN33" s="457"/>
      <c r="BO33" s="457"/>
      <c r="BP33" s="457"/>
      <c r="BQ33" s="457"/>
      <c r="BR33" s="457"/>
      <c r="BS33" s="457"/>
      <c r="BT33" s="457"/>
      <c r="BU33" s="457"/>
      <c r="BV33" s="457"/>
      <c r="BW33" s="457"/>
      <c r="BX33" s="457"/>
      <c r="BY33" s="457"/>
      <c r="BZ33" s="457"/>
      <c r="CA33" s="457"/>
      <c r="CB33" s="457"/>
      <c r="CC33" s="457"/>
      <c r="CD33" s="457"/>
      <c r="CE33" s="457"/>
      <c r="CF33" s="457"/>
      <c r="CG33" s="457"/>
      <c r="CH33" s="457"/>
      <c r="CI33" s="457"/>
      <c r="CJ33" s="457"/>
      <c r="CK33" s="457"/>
      <c r="CL33" s="457"/>
      <c r="CM33" s="457"/>
      <c r="CN33" s="457"/>
      <c r="CO33" s="457"/>
      <c r="CP33" s="457"/>
      <c r="CQ33" s="457"/>
      <c r="CR33" s="457"/>
      <c r="CS33" s="457"/>
      <c r="CT33" s="457"/>
      <c r="CU33" s="457"/>
      <c r="CV33" s="457"/>
      <c r="CW33" s="457"/>
      <c r="CX33" s="457"/>
      <c r="CY33" s="457"/>
      <c r="CZ33" s="457"/>
      <c r="DA33" s="457"/>
      <c r="DB33" s="457"/>
      <c r="DC33" s="457"/>
      <c r="DD33" s="457"/>
      <c r="DE33" s="457"/>
      <c r="DF33" s="457"/>
      <c r="DG33" s="457"/>
      <c r="DH33" s="457"/>
      <c r="DI33" s="457"/>
      <c r="DJ33" s="457"/>
      <c r="DK33" s="457"/>
      <c r="DL33" s="457"/>
      <c r="DM33" s="457"/>
      <c r="DN33" s="457"/>
      <c r="DO33" s="457"/>
      <c r="DP33" s="457"/>
      <c r="DQ33" s="457"/>
      <c r="DR33" s="457"/>
      <c r="DS33" s="457"/>
      <c r="DT33" s="457"/>
      <c r="DU33" s="457"/>
      <c r="DV33" s="457"/>
      <c r="DW33" s="457"/>
      <c r="DX33" s="457"/>
      <c r="DY33" s="457"/>
      <c r="DZ33" s="458"/>
      <c r="EU33" s="69" t="s">
        <v>108</v>
      </c>
      <c r="EY33" s="69"/>
      <c r="FB33" s="94" t="s">
        <v>336</v>
      </c>
      <c r="FC33" s="94" t="s">
        <v>336</v>
      </c>
      <c r="FD33" s="94" t="s">
        <v>337</v>
      </c>
      <c r="FE33" s="98" t="s">
        <v>752</v>
      </c>
    </row>
    <row r="34" spans="2:161" ht="20.100000000000001" customHeight="1" thickBot="1">
      <c r="B34" s="197"/>
      <c r="C34" s="198"/>
      <c r="D34" s="198"/>
      <c r="E34" s="198"/>
      <c r="F34" s="199"/>
      <c r="G34" s="451"/>
      <c r="H34" s="452"/>
      <c r="I34" s="452"/>
      <c r="J34" s="452"/>
      <c r="K34" s="452"/>
      <c r="L34" s="452"/>
      <c r="M34" s="459"/>
      <c r="N34" s="459"/>
      <c r="O34" s="459"/>
      <c r="P34" s="459"/>
      <c r="Q34" s="459"/>
      <c r="R34" s="459"/>
      <c r="S34" s="459"/>
      <c r="T34" s="459"/>
      <c r="U34" s="459"/>
      <c r="V34" s="459"/>
      <c r="W34" s="459"/>
      <c r="X34" s="459"/>
      <c r="Y34" s="459"/>
      <c r="Z34" s="459"/>
      <c r="AA34" s="459"/>
      <c r="AB34" s="459"/>
      <c r="AC34" s="459"/>
      <c r="AD34" s="459"/>
      <c r="AE34" s="459"/>
      <c r="AF34" s="459"/>
      <c r="AG34" s="459"/>
      <c r="AH34" s="459"/>
      <c r="AI34" s="459"/>
      <c r="AJ34" s="459"/>
      <c r="AK34" s="459"/>
      <c r="AL34" s="459"/>
      <c r="AM34" s="459"/>
      <c r="AN34" s="459"/>
      <c r="AO34" s="459"/>
      <c r="AP34" s="459"/>
      <c r="AQ34" s="459"/>
      <c r="AR34" s="459"/>
      <c r="AS34" s="459"/>
      <c r="AT34" s="459"/>
      <c r="AU34" s="459"/>
      <c r="AV34" s="459"/>
      <c r="AW34" s="459"/>
      <c r="AX34" s="459"/>
      <c r="AY34" s="459"/>
      <c r="AZ34" s="459"/>
      <c r="BA34" s="459"/>
      <c r="BB34" s="459"/>
      <c r="BC34" s="459"/>
      <c r="BD34" s="459"/>
      <c r="BE34" s="459"/>
      <c r="BF34" s="459"/>
      <c r="BG34" s="459"/>
      <c r="BH34" s="459"/>
      <c r="BI34" s="459"/>
      <c r="BJ34" s="459"/>
      <c r="BK34" s="459"/>
      <c r="BL34" s="459"/>
      <c r="BM34" s="459"/>
      <c r="BN34" s="459"/>
      <c r="BO34" s="459"/>
      <c r="BP34" s="459"/>
      <c r="BQ34" s="459"/>
      <c r="BR34" s="459"/>
      <c r="BS34" s="459"/>
      <c r="BT34" s="459"/>
      <c r="BU34" s="459"/>
      <c r="BV34" s="459"/>
      <c r="BW34" s="459"/>
      <c r="BX34" s="459"/>
      <c r="BY34" s="459"/>
      <c r="BZ34" s="459"/>
      <c r="CA34" s="459"/>
      <c r="CB34" s="459"/>
      <c r="CC34" s="459"/>
      <c r="CD34" s="459"/>
      <c r="CE34" s="459"/>
      <c r="CF34" s="459"/>
      <c r="CG34" s="459"/>
      <c r="CH34" s="459"/>
      <c r="CI34" s="459"/>
      <c r="CJ34" s="459"/>
      <c r="CK34" s="459"/>
      <c r="CL34" s="459"/>
      <c r="CM34" s="459"/>
      <c r="CN34" s="459"/>
      <c r="CO34" s="459"/>
      <c r="CP34" s="459"/>
      <c r="CQ34" s="459"/>
      <c r="CR34" s="459"/>
      <c r="CS34" s="459"/>
      <c r="CT34" s="459"/>
      <c r="CU34" s="459"/>
      <c r="CV34" s="459"/>
      <c r="CW34" s="459"/>
      <c r="CX34" s="459"/>
      <c r="CY34" s="459"/>
      <c r="CZ34" s="459"/>
      <c r="DA34" s="459"/>
      <c r="DB34" s="459"/>
      <c r="DC34" s="459"/>
      <c r="DD34" s="459"/>
      <c r="DE34" s="459"/>
      <c r="DF34" s="459"/>
      <c r="DG34" s="459"/>
      <c r="DH34" s="459"/>
      <c r="DI34" s="459"/>
      <c r="DJ34" s="459"/>
      <c r="DK34" s="459"/>
      <c r="DL34" s="459"/>
      <c r="DM34" s="459"/>
      <c r="DN34" s="459"/>
      <c r="DO34" s="459"/>
      <c r="DP34" s="459"/>
      <c r="DQ34" s="459"/>
      <c r="DR34" s="459"/>
      <c r="DS34" s="459"/>
      <c r="DT34" s="459"/>
      <c r="DU34" s="459"/>
      <c r="DV34" s="459"/>
      <c r="DW34" s="459"/>
      <c r="DX34" s="459"/>
      <c r="DY34" s="459"/>
      <c r="DZ34" s="460"/>
      <c r="EU34" s="69" t="s">
        <v>145</v>
      </c>
      <c r="FB34" s="94" t="s">
        <v>338</v>
      </c>
      <c r="FC34" s="94" t="s">
        <v>338</v>
      </c>
      <c r="FD34" s="94" t="s">
        <v>339</v>
      </c>
      <c r="FE34" s="98">
        <v>3388</v>
      </c>
    </row>
    <row r="35" spans="2:161" ht="20.100000000000001" customHeight="1">
      <c r="B35" s="349" t="s">
        <v>67</v>
      </c>
      <c r="C35" s="350"/>
      <c r="D35" s="350"/>
      <c r="E35" s="350"/>
      <c r="F35" s="350"/>
      <c r="G35" s="352"/>
      <c r="H35" s="353"/>
      <c r="I35" s="353"/>
      <c r="J35" s="353"/>
      <c r="K35" s="353"/>
      <c r="L35" s="354"/>
      <c r="M35" s="286">
        <v>42366</v>
      </c>
      <c r="N35" s="287"/>
      <c r="O35" s="287"/>
      <c r="P35" s="288"/>
      <c r="Q35" s="297">
        <f>WEEKDAY(M35,1)</f>
        <v>2</v>
      </c>
      <c r="R35" s="298"/>
      <c r="S35" s="299"/>
      <c r="T35" s="300"/>
      <c r="U35" s="300"/>
      <c r="V35" s="300"/>
      <c r="W35" s="300"/>
      <c r="X35" s="300"/>
      <c r="Y35" s="300"/>
      <c r="Z35" s="301"/>
      <c r="AA35" s="294">
        <f>M41+1</f>
        <v>42373</v>
      </c>
      <c r="AB35" s="295"/>
      <c r="AC35" s="295"/>
      <c r="AD35" s="296"/>
      <c r="AE35" s="289">
        <f>WEEKDAY(AA35,1)</f>
        <v>2</v>
      </c>
      <c r="AF35" s="290"/>
      <c r="AG35" s="291"/>
      <c r="AH35" s="292"/>
      <c r="AI35" s="292"/>
      <c r="AJ35" s="292"/>
      <c r="AK35" s="292"/>
      <c r="AL35" s="292"/>
      <c r="AM35" s="292"/>
      <c r="AN35" s="293"/>
      <c r="AO35" s="294">
        <f>AA41+1</f>
        <v>42380</v>
      </c>
      <c r="AP35" s="295"/>
      <c r="AQ35" s="295"/>
      <c r="AR35" s="296"/>
      <c r="AS35" s="289">
        <f>WEEKDAY(AO35,1)</f>
        <v>2</v>
      </c>
      <c r="AT35" s="290"/>
      <c r="AU35" s="302"/>
      <c r="AV35" s="292"/>
      <c r="AW35" s="292"/>
      <c r="AX35" s="292"/>
      <c r="AY35" s="292"/>
      <c r="AZ35" s="292"/>
      <c r="BA35" s="292"/>
      <c r="BB35" s="293"/>
      <c r="BC35" s="286">
        <f>AO41+1</f>
        <v>42387</v>
      </c>
      <c r="BD35" s="287"/>
      <c r="BE35" s="287"/>
      <c r="BF35" s="288"/>
      <c r="BG35" s="297">
        <f>WEEKDAY(BC35,1)</f>
        <v>2</v>
      </c>
      <c r="BH35" s="298"/>
      <c r="BI35" s="311" t="s">
        <v>818</v>
      </c>
      <c r="BJ35" s="300"/>
      <c r="BK35" s="300"/>
      <c r="BL35" s="300"/>
      <c r="BM35" s="300"/>
      <c r="BN35" s="300"/>
      <c r="BO35" s="300"/>
      <c r="BP35" s="301"/>
      <c r="BQ35" s="286">
        <f>BC41+1</f>
        <v>42394</v>
      </c>
      <c r="BR35" s="287"/>
      <c r="BS35" s="287"/>
      <c r="BT35" s="288"/>
      <c r="BU35" s="297">
        <f>WEEKDAY(BQ35,1)</f>
        <v>2</v>
      </c>
      <c r="BV35" s="298"/>
      <c r="BW35" s="312"/>
      <c r="BX35" s="300"/>
      <c r="BY35" s="300"/>
      <c r="BZ35" s="300"/>
      <c r="CA35" s="300"/>
      <c r="CB35" s="300"/>
      <c r="CC35" s="300"/>
      <c r="CD35" s="301"/>
      <c r="CE35" s="286">
        <f>BQ41+1</f>
        <v>42401</v>
      </c>
      <c r="CF35" s="287"/>
      <c r="CG35" s="287"/>
      <c r="CH35" s="288"/>
      <c r="CI35" s="297">
        <f>WEEKDAY(CE35,1)</f>
        <v>2</v>
      </c>
      <c r="CJ35" s="298"/>
      <c r="CK35" s="312"/>
      <c r="CL35" s="300"/>
      <c r="CM35" s="300"/>
      <c r="CN35" s="300"/>
      <c r="CO35" s="300"/>
      <c r="CP35" s="300"/>
      <c r="CQ35" s="300"/>
      <c r="CR35" s="301"/>
      <c r="CS35" s="74"/>
      <c r="CT35" s="165" t="s">
        <v>42</v>
      </c>
      <c r="CU35" s="166"/>
      <c r="CV35" s="166"/>
      <c r="CW35" s="166"/>
      <c r="CX35" s="166"/>
      <c r="CY35" s="166"/>
      <c r="CZ35" s="166"/>
      <c r="DA35" s="166"/>
      <c r="DB35" s="166"/>
      <c r="DC35" s="166"/>
      <c r="DD35" s="166"/>
      <c r="DE35" s="166"/>
      <c r="DF35" s="166"/>
      <c r="DG35" s="166"/>
      <c r="DH35" s="166"/>
      <c r="DI35" s="166"/>
      <c r="DJ35" s="166"/>
      <c r="DK35" s="166"/>
      <c r="DL35" s="166"/>
      <c r="DM35" s="166"/>
      <c r="DN35" s="166"/>
      <c r="DO35" s="166"/>
      <c r="DP35" s="166"/>
      <c r="DQ35" s="166"/>
      <c r="DR35" s="166"/>
      <c r="DS35" s="166"/>
      <c r="DT35" s="166"/>
      <c r="DU35" s="166"/>
      <c r="DV35" s="166"/>
      <c r="DW35" s="166"/>
      <c r="DX35" s="166"/>
      <c r="DY35" s="166"/>
      <c r="DZ35" s="167"/>
      <c r="EU35" s="69" t="s">
        <v>122</v>
      </c>
      <c r="FB35" s="94" t="s">
        <v>340</v>
      </c>
      <c r="FC35" s="94" t="s">
        <v>341</v>
      </c>
      <c r="FD35" s="94" t="s">
        <v>342</v>
      </c>
      <c r="FE35" s="98" t="s">
        <v>753</v>
      </c>
    </row>
    <row r="36" spans="2:161" ht="20.100000000000001" customHeight="1" thickBot="1">
      <c r="B36" s="165"/>
      <c r="C36" s="351"/>
      <c r="D36" s="351"/>
      <c r="E36" s="351"/>
      <c r="F36" s="351"/>
      <c r="G36" s="355"/>
      <c r="H36" s="356"/>
      <c r="I36" s="356"/>
      <c r="J36" s="356"/>
      <c r="K36" s="356"/>
      <c r="L36" s="357"/>
      <c r="M36" s="280">
        <f t="shared" ref="M36:M41" si="0">M35+1</f>
        <v>42367</v>
      </c>
      <c r="N36" s="281"/>
      <c r="O36" s="281"/>
      <c r="P36" s="282"/>
      <c r="Q36" s="283">
        <f t="shared" ref="Q36:Q41" si="1">WEEKDAY(M36,1)</f>
        <v>3</v>
      </c>
      <c r="R36" s="284"/>
      <c r="S36" s="316"/>
      <c r="T36" s="317"/>
      <c r="U36" s="317"/>
      <c r="V36" s="317"/>
      <c r="W36" s="317"/>
      <c r="X36" s="317"/>
      <c r="Y36" s="317"/>
      <c r="Z36" s="318"/>
      <c r="AA36" s="320">
        <f t="shared" ref="AA36:AA41" si="2">AA35+1</f>
        <v>42374</v>
      </c>
      <c r="AB36" s="321"/>
      <c r="AC36" s="321"/>
      <c r="AD36" s="322"/>
      <c r="AE36" s="323">
        <f t="shared" ref="AE36:AE41" si="3">WEEKDAY(AA36,1)</f>
        <v>3</v>
      </c>
      <c r="AF36" s="324"/>
      <c r="AG36" s="308"/>
      <c r="AH36" s="309"/>
      <c r="AI36" s="309"/>
      <c r="AJ36" s="309"/>
      <c r="AK36" s="309"/>
      <c r="AL36" s="309"/>
      <c r="AM36" s="309"/>
      <c r="AN36" s="310"/>
      <c r="AO36" s="280">
        <f t="shared" ref="AO36:AO41" si="4">AO35+1</f>
        <v>42381</v>
      </c>
      <c r="AP36" s="281"/>
      <c r="AQ36" s="281"/>
      <c r="AR36" s="282"/>
      <c r="AS36" s="283">
        <f t="shared" ref="AS36:AS41" si="5">WEEKDAY(AO36,1)</f>
        <v>3</v>
      </c>
      <c r="AT36" s="284"/>
      <c r="AU36" s="319"/>
      <c r="AV36" s="317"/>
      <c r="AW36" s="317"/>
      <c r="AX36" s="317"/>
      <c r="AY36" s="317"/>
      <c r="AZ36" s="317"/>
      <c r="BA36" s="317"/>
      <c r="BB36" s="318"/>
      <c r="BC36" s="280">
        <f t="shared" ref="BC36:BC41" si="6">BC35+1</f>
        <v>42388</v>
      </c>
      <c r="BD36" s="281"/>
      <c r="BE36" s="281"/>
      <c r="BF36" s="282"/>
      <c r="BG36" s="283">
        <f t="shared" ref="BG36:BG41" si="7">WEEKDAY(BC36,1)</f>
        <v>3</v>
      </c>
      <c r="BH36" s="284"/>
      <c r="BI36" s="316"/>
      <c r="BJ36" s="317"/>
      <c r="BK36" s="317"/>
      <c r="BL36" s="317"/>
      <c r="BM36" s="317"/>
      <c r="BN36" s="317"/>
      <c r="BO36" s="317"/>
      <c r="BP36" s="318"/>
      <c r="BQ36" s="280">
        <f t="shared" ref="BQ36:BQ41" si="8">BQ35+1</f>
        <v>42395</v>
      </c>
      <c r="BR36" s="281"/>
      <c r="BS36" s="281"/>
      <c r="BT36" s="282"/>
      <c r="BU36" s="283">
        <f t="shared" ref="BU36:BU41" si="9">WEEKDAY(BQ36,1)</f>
        <v>3</v>
      </c>
      <c r="BV36" s="284"/>
      <c r="BW36" s="316"/>
      <c r="BX36" s="317"/>
      <c r="BY36" s="317"/>
      <c r="BZ36" s="317"/>
      <c r="CA36" s="317"/>
      <c r="CB36" s="317"/>
      <c r="CC36" s="317"/>
      <c r="CD36" s="318"/>
      <c r="CE36" s="280">
        <f t="shared" ref="CE36:CE41" si="10">CE35+1</f>
        <v>42402</v>
      </c>
      <c r="CF36" s="281"/>
      <c r="CG36" s="281"/>
      <c r="CH36" s="282"/>
      <c r="CI36" s="283">
        <f t="shared" ref="CI36:CI41" si="11">WEEKDAY(CE36,1)</f>
        <v>3</v>
      </c>
      <c r="CJ36" s="284"/>
      <c r="CK36" s="316"/>
      <c r="CL36" s="317"/>
      <c r="CM36" s="317"/>
      <c r="CN36" s="317"/>
      <c r="CO36" s="317"/>
      <c r="CP36" s="317"/>
      <c r="CQ36" s="317"/>
      <c r="CR36" s="318"/>
      <c r="CS36" s="74"/>
      <c r="CT36" s="285" t="s">
        <v>803</v>
      </c>
      <c r="CU36" s="107"/>
      <c r="CV36" s="107"/>
      <c r="CW36" s="107"/>
      <c r="CX36" s="107"/>
      <c r="CY36" s="107"/>
      <c r="CZ36" s="107"/>
      <c r="DA36" s="107"/>
      <c r="DB36" s="107"/>
      <c r="DC36" s="107"/>
      <c r="DD36" s="107"/>
      <c r="DE36" s="107"/>
      <c r="DF36" s="107"/>
      <c r="DG36" s="107"/>
      <c r="DH36" s="107"/>
      <c r="DI36" s="107"/>
      <c r="DJ36" s="107"/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U36" s="107"/>
      <c r="DV36" s="107"/>
      <c r="DW36" s="107"/>
      <c r="DX36" s="107"/>
      <c r="DY36" s="107"/>
      <c r="DZ36" s="108"/>
      <c r="EU36" s="69" t="s">
        <v>149</v>
      </c>
      <c r="FB36" s="94" t="s">
        <v>343</v>
      </c>
      <c r="FC36" s="94" t="s">
        <v>343</v>
      </c>
      <c r="FD36" s="94" t="s">
        <v>344</v>
      </c>
      <c r="FE36" s="98" t="s">
        <v>754</v>
      </c>
    </row>
    <row r="37" spans="2:161" ht="20.100000000000001" customHeight="1" thickTop="1" thickBot="1">
      <c r="B37" s="165"/>
      <c r="C37" s="351"/>
      <c r="D37" s="351"/>
      <c r="E37" s="351"/>
      <c r="F37" s="351"/>
      <c r="G37" s="355"/>
      <c r="H37" s="356"/>
      <c r="I37" s="356"/>
      <c r="J37" s="356"/>
      <c r="K37" s="356"/>
      <c r="L37" s="357"/>
      <c r="M37" s="280">
        <f t="shared" si="0"/>
        <v>42368</v>
      </c>
      <c r="N37" s="281"/>
      <c r="O37" s="281"/>
      <c r="P37" s="282"/>
      <c r="Q37" s="283">
        <f t="shared" si="1"/>
        <v>4</v>
      </c>
      <c r="R37" s="284"/>
      <c r="S37" s="316"/>
      <c r="T37" s="317"/>
      <c r="U37" s="317"/>
      <c r="V37" s="317"/>
      <c r="W37" s="317"/>
      <c r="X37" s="317"/>
      <c r="Y37" s="317"/>
      <c r="Z37" s="317"/>
      <c r="AA37" s="303">
        <f t="shared" si="2"/>
        <v>42375</v>
      </c>
      <c r="AB37" s="304"/>
      <c r="AC37" s="304"/>
      <c r="AD37" s="305"/>
      <c r="AE37" s="306">
        <f t="shared" si="3"/>
        <v>4</v>
      </c>
      <c r="AF37" s="307"/>
      <c r="AG37" s="325" t="s">
        <v>821</v>
      </c>
      <c r="AH37" s="326"/>
      <c r="AI37" s="326"/>
      <c r="AJ37" s="326"/>
      <c r="AK37" s="326"/>
      <c r="AL37" s="326"/>
      <c r="AM37" s="326"/>
      <c r="AN37" s="327"/>
      <c r="AO37" s="321">
        <f t="shared" si="4"/>
        <v>42382</v>
      </c>
      <c r="AP37" s="321"/>
      <c r="AQ37" s="321"/>
      <c r="AR37" s="322"/>
      <c r="AS37" s="323">
        <f t="shared" si="5"/>
        <v>4</v>
      </c>
      <c r="AT37" s="324"/>
      <c r="AU37" s="308"/>
      <c r="AV37" s="309"/>
      <c r="AW37" s="309"/>
      <c r="AX37" s="309"/>
      <c r="AY37" s="309"/>
      <c r="AZ37" s="309"/>
      <c r="BA37" s="309"/>
      <c r="BB37" s="310"/>
      <c r="BC37" s="280">
        <f t="shared" si="6"/>
        <v>42389</v>
      </c>
      <c r="BD37" s="281"/>
      <c r="BE37" s="281"/>
      <c r="BF37" s="282"/>
      <c r="BG37" s="283">
        <f t="shared" si="7"/>
        <v>4</v>
      </c>
      <c r="BH37" s="284"/>
      <c r="BI37" s="316"/>
      <c r="BJ37" s="317"/>
      <c r="BK37" s="317"/>
      <c r="BL37" s="317"/>
      <c r="BM37" s="317"/>
      <c r="BN37" s="317"/>
      <c r="BO37" s="317"/>
      <c r="BP37" s="318"/>
      <c r="BQ37" s="280">
        <f t="shared" si="8"/>
        <v>42396</v>
      </c>
      <c r="BR37" s="281"/>
      <c r="BS37" s="281"/>
      <c r="BT37" s="282"/>
      <c r="BU37" s="283">
        <f t="shared" si="9"/>
        <v>4</v>
      </c>
      <c r="BV37" s="284"/>
      <c r="BW37" s="316"/>
      <c r="BX37" s="317"/>
      <c r="BY37" s="317"/>
      <c r="BZ37" s="317"/>
      <c r="CA37" s="317"/>
      <c r="CB37" s="317"/>
      <c r="CC37" s="317"/>
      <c r="CD37" s="318"/>
      <c r="CE37" s="280">
        <f t="shared" si="10"/>
        <v>42403</v>
      </c>
      <c r="CF37" s="281"/>
      <c r="CG37" s="281"/>
      <c r="CH37" s="282"/>
      <c r="CI37" s="283">
        <f t="shared" si="11"/>
        <v>4</v>
      </c>
      <c r="CJ37" s="284"/>
      <c r="CK37" s="316"/>
      <c r="CL37" s="317"/>
      <c r="CM37" s="317"/>
      <c r="CN37" s="317"/>
      <c r="CO37" s="317"/>
      <c r="CP37" s="317"/>
      <c r="CQ37" s="317"/>
      <c r="CR37" s="318"/>
      <c r="CS37" s="74"/>
      <c r="CT37" s="285"/>
      <c r="CU37" s="107"/>
      <c r="CV37" s="107"/>
      <c r="CW37" s="107"/>
      <c r="CX37" s="107"/>
      <c r="CY37" s="107"/>
      <c r="CZ37" s="107"/>
      <c r="DA37" s="107"/>
      <c r="DB37" s="107"/>
      <c r="DC37" s="107"/>
      <c r="DD37" s="107"/>
      <c r="DE37" s="107"/>
      <c r="DF37" s="107"/>
      <c r="DG37" s="107"/>
      <c r="DH37" s="107"/>
      <c r="DI37" s="107"/>
      <c r="DJ37" s="107"/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U37" s="107"/>
      <c r="DV37" s="107"/>
      <c r="DW37" s="107"/>
      <c r="DX37" s="107"/>
      <c r="DY37" s="107"/>
      <c r="DZ37" s="108"/>
      <c r="FB37" s="94" t="s">
        <v>345</v>
      </c>
      <c r="FC37" s="94" t="s">
        <v>345</v>
      </c>
      <c r="FD37" s="94" t="s">
        <v>346</v>
      </c>
      <c r="FE37" s="98">
        <v>2933</v>
      </c>
    </row>
    <row r="38" spans="2:161" ht="20.100000000000001" customHeight="1" thickTop="1">
      <c r="B38" s="165"/>
      <c r="C38" s="351"/>
      <c r="D38" s="351"/>
      <c r="E38" s="351"/>
      <c r="F38" s="351"/>
      <c r="G38" s="355"/>
      <c r="H38" s="356"/>
      <c r="I38" s="356"/>
      <c r="J38" s="356"/>
      <c r="K38" s="356"/>
      <c r="L38" s="357"/>
      <c r="M38" s="280">
        <f t="shared" si="0"/>
        <v>42369</v>
      </c>
      <c r="N38" s="281"/>
      <c r="O38" s="281"/>
      <c r="P38" s="282"/>
      <c r="Q38" s="283">
        <f t="shared" si="1"/>
        <v>5</v>
      </c>
      <c r="R38" s="284"/>
      <c r="S38" s="316"/>
      <c r="T38" s="317"/>
      <c r="U38" s="317"/>
      <c r="V38" s="317"/>
      <c r="W38" s="317"/>
      <c r="X38" s="317"/>
      <c r="Y38" s="317"/>
      <c r="Z38" s="317"/>
      <c r="AA38" s="328">
        <f t="shared" si="2"/>
        <v>42376</v>
      </c>
      <c r="AB38" s="281"/>
      <c r="AC38" s="281"/>
      <c r="AD38" s="282"/>
      <c r="AE38" s="283">
        <f t="shared" si="3"/>
        <v>5</v>
      </c>
      <c r="AF38" s="284"/>
      <c r="AG38" s="335" t="s">
        <v>823</v>
      </c>
      <c r="AH38" s="336"/>
      <c r="AI38" s="336"/>
      <c r="AJ38" s="336"/>
      <c r="AK38" s="336"/>
      <c r="AL38" s="336"/>
      <c r="AM38" s="336"/>
      <c r="AN38" s="337"/>
      <c r="AO38" s="303">
        <f t="shared" si="4"/>
        <v>42383</v>
      </c>
      <c r="AP38" s="304"/>
      <c r="AQ38" s="304"/>
      <c r="AR38" s="305"/>
      <c r="AS38" s="306">
        <f t="shared" si="5"/>
        <v>5</v>
      </c>
      <c r="AT38" s="307"/>
      <c r="AU38" s="329" t="s">
        <v>820</v>
      </c>
      <c r="AV38" s="326"/>
      <c r="AW38" s="326"/>
      <c r="AX38" s="326"/>
      <c r="AY38" s="326"/>
      <c r="AZ38" s="326"/>
      <c r="BA38" s="326"/>
      <c r="BB38" s="327"/>
      <c r="BC38" s="281">
        <f t="shared" si="6"/>
        <v>42390</v>
      </c>
      <c r="BD38" s="281"/>
      <c r="BE38" s="281"/>
      <c r="BF38" s="282"/>
      <c r="BG38" s="283">
        <f t="shared" si="7"/>
        <v>5</v>
      </c>
      <c r="BH38" s="284"/>
      <c r="BI38" s="316"/>
      <c r="BJ38" s="317"/>
      <c r="BK38" s="317"/>
      <c r="BL38" s="317"/>
      <c r="BM38" s="317"/>
      <c r="BN38" s="317"/>
      <c r="BO38" s="317"/>
      <c r="BP38" s="318"/>
      <c r="BQ38" s="280">
        <f t="shared" si="8"/>
        <v>42397</v>
      </c>
      <c r="BR38" s="281"/>
      <c r="BS38" s="281"/>
      <c r="BT38" s="282"/>
      <c r="BU38" s="283">
        <f t="shared" si="9"/>
        <v>5</v>
      </c>
      <c r="BV38" s="284"/>
      <c r="BW38" s="316"/>
      <c r="BX38" s="317"/>
      <c r="BY38" s="317"/>
      <c r="BZ38" s="317"/>
      <c r="CA38" s="317"/>
      <c r="CB38" s="317"/>
      <c r="CC38" s="317"/>
      <c r="CD38" s="318"/>
      <c r="CE38" s="280">
        <f t="shared" si="10"/>
        <v>42404</v>
      </c>
      <c r="CF38" s="281"/>
      <c r="CG38" s="281"/>
      <c r="CH38" s="282"/>
      <c r="CI38" s="283">
        <f t="shared" si="11"/>
        <v>5</v>
      </c>
      <c r="CJ38" s="284"/>
      <c r="CK38" s="316"/>
      <c r="CL38" s="317"/>
      <c r="CM38" s="317"/>
      <c r="CN38" s="317"/>
      <c r="CO38" s="317"/>
      <c r="CP38" s="317"/>
      <c r="CQ38" s="317"/>
      <c r="CR38" s="318"/>
      <c r="CS38" s="74"/>
      <c r="CT38" s="106"/>
      <c r="CU38" s="107"/>
      <c r="CV38" s="107"/>
      <c r="CW38" s="107"/>
      <c r="CX38" s="107"/>
      <c r="CY38" s="107"/>
      <c r="CZ38" s="107"/>
      <c r="DA38" s="107"/>
      <c r="DB38" s="107"/>
      <c r="DC38" s="107"/>
      <c r="DD38" s="107"/>
      <c r="DE38" s="107"/>
      <c r="DF38" s="107"/>
      <c r="DG38" s="107"/>
      <c r="DH38" s="107"/>
      <c r="DI38" s="107"/>
      <c r="DJ38" s="107"/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U38" s="107"/>
      <c r="DV38" s="107"/>
      <c r="DW38" s="107"/>
      <c r="DX38" s="107"/>
      <c r="DY38" s="107"/>
      <c r="DZ38" s="108"/>
      <c r="FB38" s="94" t="s">
        <v>347</v>
      </c>
      <c r="FC38" s="94" t="s">
        <v>348</v>
      </c>
      <c r="FD38" s="94" t="s">
        <v>349</v>
      </c>
      <c r="FE38" s="98">
        <v>2869</v>
      </c>
    </row>
    <row r="39" spans="2:161" ht="20.100000000000001" customHeight="1" thickBot="1">
      <c r="B39" s="165"/>
      <c r="C39" s="351"/>
      <c r="D39" s="351"/>
      <c r="E39" s="351"/>
      <c r="F39" s="351"/>
      <c r="G39" s="355"/>
      <c r="H39" s="356"/>
      <c r="I39" s="356"/>
      <c r="J39" s="356"/>
      <c r="K39" s="356"/>
      <c r="L39" s="357"/>
      <c r="M39" s="280">
        <f t="shared" si="0"/>
        <v>42370</v>
      </c>
      <c r="N39" s="281"/>
      <c r="O39" s="281"/>
      <c r="P39" s="282"/>
      <c r="Q39" s="283">
        <f t="shared" si="1"/>
        <v>6</v>
      </c>
      <c r="R39" s="284"/>
      <c r="S39" s="319"/>
      <c r="T39" s="317"/>
      <c r="U39" s="317"/>
      <c r="V39" s="317"/>
      <c r="W39" s="317"/>
      <c r="X39" s="317"/>
      <c r="Y39" s="317"/>
      <c r="Z39" s="317"/>
      <c r="AA39" s="313">
        <f t="shared" si="2"/>
        <v>42377</v>
      </c>
      <c r="AB39" s="314"/>
      <c r="AC39" s="314"/>
      <c r="AD39" s="315"/>
      <c r="AE39" s="330">
        <f t="shared" si="3"/>
        <v>6</v>
      </c>
      <c r="AF39" s="331"/>
      <c r="AG39" s="343" t="s">
        <v>822</v>
      </c>
      <c r="AH39" s="344"/>
      <c r="AI39" s="344"/>
      <c r="AJ39" s="344"/>
      <c r="AK39" s="344"/>
      <c r="AL39" s="344"/>
      <c r="AM39" s="344"/>
      <c r="AN39" s="345"/>
      <c r="AO39" s="313">
        <f t="shared" si="4"/>
        <v>42384</v>
      </c>
      <c r="AP39" s="314"/>
      <c r="AQ39" s="314"/>
      <c r="AR39" s="315"/>
      <c r="AS39" s="330">
        <f t="shared" si="5"/>
        <v>6</v>
      </c>
      <c r="AT39" s="331"/>
      <c r="AU39" s="332" t="s">
        <v>817</v>
      </c>
      <c r="AV39" s="333"/>
      <c r="AW39" s="333"/>
      <c r="AX39" s="333"/>
      <c r="AY39" s="333"/>
      <c r="AZ39" s="333"/>
      <c r="BA39" s="333"/>
      <c r="BB39" s="334"/>
      <c r="BC39" s="281">
        <f t="shared" si="6"/>
        <v>42391</v>
      </c>
      <c r="BD39" s="281"/>
      <c r="BE39" s="281"/>
      <c r="BF39" s="282"/>
      <c r="BG39" s="283">
        <f t="shared" si="7"/>
        <v>6</v>
      </c>
      <c r="BH39" s="284"/>
      <c r="BI39" s="316"/>
      <c r="BJ39" s="317"/>
      <c r="BK39" s="317"/>
      <c r="BL39" s="317"/>
      <c r="BM39" s="317"/>
      <c r="BN39" s="317"/>
      <c r="BO39" s="317"/>
      <c r="BP39" s="318"/>
      <c r="BQ39" s="280">
        <f t="shared" si="8"/>
        <v>42398</v>
      </c>
      <c r="BR39" s="281"/>
      <c r="BS39" s="281"/>
      <c r="BT39" s="282"/>
      <c r="BU39" s="283">
        <f t="shared" si="9"/>
        <v>6</v>
      </c>
      <c r="BV39" s="284"/>
      <c r="BW39" s="316"/>
      <c r="BX39" s="317"/>
      <c r="BY39" s="317"/>
      <c r="BZ39" s="317"/>
      <c r="CA39" s="317"/>
      <c r="CB39" s="317"/>
      <c r="CC39" s="317"/>
      <c r="CD39" s="318"/>
      <c r="CE39" s="280">
        <f t="shared" si="10"/>
        <v>42405</v>
      </c>
      <c r="CF39" s="281"/>
      <c r="CG39" s="281"/>
      <c r="CH39" s="282"/>
      <c r="CI39" s="283">
        <f t="shared" si="11"/>
        <v>6</v>
      </c>
      <c r="CJ39" s="284"/>
      <c r="CK39" s="316"/>
      <c r="CL39" s="317"/>
      <c r="CM39" s="317"/>
      <c r="CN39" s="317"/>
      <c r="CO39" s="317"/>
      <c r="CP39" s="317"/>
      <c r="CQ39" s="317"/>
      <c r="CR39" s="318"/>
      <c r="CS39" s="74"/>
      <c r="CT39" s="106"/>
      <c r="CU39" s="107"/>
      <c r="CV39" s="107"/>
      <c r="CW39" s="107"/>
      <c r="CX39" s="107"/>
      <c r="CY39" s="107"/>
      <c r="CZ39" s="107"/>
      <c r="DA39" s="107"/>
      <c r="DB39" s="107"/>
      <c r="DC39" s="107"/>
      <c r="DD39" s="107"/>
      <c r="DE39" s="107"/>
      <c r="DF39" s="107"/>
      <c r="DG39" s="107"/>
      <c r="DH39" s="107"/>
      <c r="DI39" s="107"/>
      <c r="DJ39" s="107"/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U39" s="107"/>
      <c r="DV39" s="107"/>
      <c r="DW39" s="107"/>
      <c r="DX39" s="107"/>
      <c r="DY39" s="107"/>
      <c r="DZ39" s="108"/>
      <c r="FB39" s="94" t="s">
        <v>350</v>
      </c>
      <c r="FC39" s="94" t="s">
        <v>350</v>
      </c>
      <c r="FD39" s="94" t="s">
        <v>351</v>
      </c>
      <c r="FE39" s="98">
        <v>4011</v>
      </c>
    </row>
    <row r="40" spans="2:161" ht="20.100000000000001" customHeight="1" thickTop="1">
      <c r="B40" s="165"/>
      <c r="C40" s="351"/>
      <c r="D40" s="351"/>
      <c r="E40" s="351"/>
      <c r="F40" s="351"/>
      <c r="G40" s="355"/>
      <c r="H40" s="356"/>
      <c r="I40" s="356"/>
      <c r="J40" s="356"/>
      <c r="K40" s="356"/>
      <c r="L40" s="357"/>
      <c r="M40" s="280">
        <f t="shared" si="0"/>
        <v>42371</v>
      </c>
      <c r="N40" s="281"/>
      <c r="O40" s="281"/>
      <c r="P40" s="282"/>
      <c r="Q40" s="283">
        <f t="shared" si="1"/>
        <v>7</v>
      </c>
      <c r="R40" s="284"/>
      <c r="S40" s="319"/>
      <c r="T40" s="317"/>
      <c r="U40" s="317"/>
      <c r="V40" s="317"/>
      <c r="W40" s="317"/>
      <c r="X40" s="317"/>
      <c r="Y40" s="317"/>
      <c r="Z40" s="318"/>
      <c r="AA40" s="286">
        <f t="shared" si="2"/>
        <v>42378</v>
      </c>
      <c r="AB40" s="287"/>
      <c r="AC40" s="287"/>
      <c r="AD40" s="288"/>
      <c r="AE40" s="297">
        <f t="shared" si="3"/>
        <v>7</v>
      </c>
      <c r="AF40" s="298"/>
      <c r="AG40" s="299"/>
      <c r="AH40" s="300"/>
      <c r="AI40" s="300"/>
      <c r="AJ40" s="300"/>
      <c r="AK40" s="300"/>
      <c r="AL40" s="300"/>
      <c r="AM40" s="300"/>
      <c r="AN40" s="301"/>
      <c r="AO40" s="286">
        <f t="shared" si="4"/>
        <v>42385</v>
      </c>
      <c r="AP40" s="287"/>
      <c r="AQ40" s="287"/>
      <c r="AR40" s="288"/>
      <c r="AS40" s="297">
        <f t="shared" si="5"/>
        <v>7</v>
      </c>
      <c r="AT40" s="298"/>
      <c r="AU40" s="312"/>
      <c r="AV40" s="300"/>
      <c r="AW40" s="300"/>
      <c r="AX40" s="300"/>
      <c r="AY40" s="300"/>
      <c r="AZ40" s="300"/>
      <c r="BA40" s="300"/>
      <c r="BB40" s="301"/>
      <c r="BC40" s="280">
        <f t="shared" si="6"/>
        <v>42392</v>
      </c>
      <c r="BD40" s="281"/>
      <c r="BE40" s="281"/>
      <c r="BF40" s="282"/>
      <c r="BG40" s="283">
        <f t="shared" si="7"/>
        <v>7</v>
      </c>
      <c r="BH40" s="284"/>
      <c r="BI40" s="335" t="s">
        <v>819</v>
      </c>
      <c r="BJ40" s="317"/>
      <c r="BK40" s="317"/>
      <c r="BL40" s="317"/>
      <c r="BM40" s="317"/>
      <c r="BN40" s="317"/>
      <c r="BO40" s="317"/>
      <c r="BP40" s="318"/>
      <c r="BQ40" s="280">
        <f t="shared" si="8"/>
        <v>42399</v>
      </c>
      <c r="BR40" s="281"/>
      <c r="BS40" s="281"/>
      <c r="BT40" s="282"/>
      <c r="BU40" s="283">
        <f t="shared" si="9"/>
        <v>7</v>
      </c>
      <c r="BV40" s="284"/>
      <c r="BW40" s="316"/>
      <c r="BX40" s="317"/>
      <c r="BY40" s="317"/>
      <c r="BZ40" s="317"/>
      <c r="CA40" s="317"/>
      <c r="CB40" s="317"/>
      <c r="CC40" s="317"/>
      <c r="CD40" s="318"/>
      <c r="CE40" s="280">
        <f t="shared" si="10"/>
        <v>42406</v>
      </c>
      <c r="CF40" s="281"/>
      <c r="CG40" s="281"/>
      <c r="CH40" s="282"/>
      <c r="CI40" s="283">
        <f t="shared" si="11"/>
        <v>7</v>
      </c>
      <c r="CJ40" s="284"/>
      <c r="CK40" s="316"/>
      <c r="CL40" s="317"/>
      <c r="CM40" s="317"/>
      <c r="CN40" s="317"/>
      <c r="CO40" s="317"/>
      <c r="CP40" s="317"/>
      <c r="CQ40" s="317"/>
      <c r="CR40" s="318"/>
      <c r="CS40" s="74"/>
      <c r="CT40" s="106"/>
      <c r="CU40" s="107"/>
      <c r="CV40" s="107"/>
      <c r="CW40" s="107"/>
      <c r="CX40" s="107"/>
      <c r="CY40" s="107"/>
      <c r="CZ40" s="107"/>
      <c r="DA40" s="107"/>
      <c r="DB40" s="107"/>
      <c r="DC40" s="107"/>
      <c r="DD40" s="107"/>
      <c r="DE40" s="107"/>
      <c r="DF40" s="107"/>
      <c r="DG40" s="107"/>
      <c r="DH40" s="107"/>
      <c r="DI40" s="107"/>
      <c r="DJ40" s="107"/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U40" s="107"/>
      <c r="DV40" s="107"/>
      <c r="DW40" s="107"/>
      <c r="DX40" s="107"/>
      <c r="DY40" s="107"/>
      <c r="DZ40" s="108"/>
      <c r="FB40" s="94" t="s">
        <v>352</v>
      </c>
      <c r="FC40" s="94" t="s">
        <v>353</v>
      </c>
      <c r="FD40" s="94" t="s">
        <v>354</v>
      </c>
      <c r="FE40" s="98" t="s">
        <v>755</v>
      </c>
    </row>
    <row r="41" spans="2:161" ht="20.100000000000001" customHeight="1" thickBot="1">
      <c r="B41" s="168"/>
      <c r="C41" s="169"/>
      <c r="D41" s="169"/>
      <c r="E41" s="169"/>
      <c r="F41" s="169"/>
      <c r="G41" s="358"/>
      <c r="H41" s="359"/>
      <c r="I41" s="359"/>
      <c r="J41" s="359"/>
      <c r="K41" s="359"/>
      <c r="L41" s="360"/>
      <c r="M41" s="346">
        <f t="shared" si="0"/>
        <v>42372</v>
      </c>
      <c r="N41" s="347"/>
      <c r="O41" s="347"/>
      <c r="P41" s="348"/>
      <c r="Q41" s="341">
        <f t="shared" si="1"/>
        <v>1</v>
      </c>
      <c r="R41" s="342"/>
      <c r="S41" s="338"/>
      <c r="T41" s="339"/>
      <c r="U41" s="339"/>
      <c r="V41" s="339"/>
      <c r="W41" s="339"/>
      <c r="X41" s="339"/>
      <c r="Y41" s="339"/>
      <c r="Z41" s="340"/>
      <c r="AA41" s="346">
        <f t="shared" si="2"/>
        <v>42379</v>
      </c>
      <c r="AB41" s="347"/>
      <c r="AC41" s="347"/>
      <c r="AD41" s="348"/>
      <c r="AE41" s="341">
        <f t="shared" si="3"/>
        <v>1</v>
      </c>
      <c r="AF41" s="342"/>
      <c r="AG41" s="361"/>
      <c r="AH41" s="339"/>
      <c r="AI41" s="339"/>
      <c r="AJ41" s="339"/>
      <c r="AK41" s="339"/>
      <c r="AL41" s="339"/>
      <c r="AM41" s="339"/>
      <c r="AN41" s="340"/>
      <c r="AO41" s="346">
        <f t="shared" si="4"/>
        <v>42386</v>
      </c>
      <c r="AP41" s="347"/>
      <c r="AQ41" s="347"/>
      <c r="AR41" s="348"/>
      <c r="AS41" s="341">
        <f t="shared" si="5"/>
        <v>1</v>
      </c>
      <c r="AT41" s="342"/>
      <c r="AU41" s="338"/>
      <c r="AV41" s="339"/>
      <c r="AW41" s="339"/>
      <c r="AX41" s="339"/>
      <c r="AY41" s="339"/>
      <c r="AZ41" s="339"/>
      <c r="BA41" s="339"/>
      <c r="BB41" s="340"/>
      <c r="BC41" s="346">
        <f t="shared" si="6"/>
        <v>42393</v>
      </c>
      <c r="BD41" s="347"/>
      <c r="BE41" s="347"/>
      <c r="BF41" s="348"/>
      <c r="BG41" s="341">
        <f t="shared" si="7"/>
        <v>1</v>
      </c>
      <c r="BH41" s="342"/>
      <c r="BI41" s="338"/>
      <c r="BJ41" s="339"/>
      <c r="BK41" s="339"/>
      <c r="BL41" s="339"/>
      <c r="BM41" s="339"/>
      <c r="BN41" s="339"/>
      <c r="BO41" s="339"/>
      <c r="BP41" s="340"/>
      <c r="BQ41" s="346">
        <f t="shared" si="8"/>
        <v>42400</v>
      </c>
      <c r="BR41" s="347"/>
      <c r="BS41" s="347"/>
      <c r="BT41" s="348"/>
      <c r="BU41" s="341">
        <f t="shared" si="9"/>
        <v>1</v>
      </c>
      <c r="BV41" s="342"/>
      <c r="BW41" s="338"/>
      <c r="BX41" s="339"/>
      <c r="BY41" s="339"/>
      <c r="BZ41" s="339"/>
      <c r="CA41" s="339"/>
      <c r="CB41" s="339"/>
      <c r="CC41" s="339"/>
      <c r="CD41" s="340"/>
      <c r="CE41" s="346">
        <f t="shared" si="10"/>
        <v>42407</v>
      </c>
      <c r="CF41" s="347"/>
      <c r="CG41" s="347"/>
      <c r="CH41" s="348"/>
      <c r="CI41" s="341">
        <f t="shared" si="11"/>
        <v>1</v>
      </c>
      <c r="CJ41" s="342"/>
      <c r="CK41" s="338"/>
      <c r="CL41" s="339"/>
      <c r="CM41" s="339"/>
      <c r="CN41" s="339"/>
      <c r="CO41" s="339"/>
      <c r="CP41" s="339"/>
      <c r="CQ41" s="339"/>
      <c r="CR41" s="340"/>
      <c r="CS41" s="75"/>
      <c r="CT41" s="109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1"/>
      <c r="FB41" s="94" t="s">
        <v>355</v>
      </c>
      <c r="FC41" s="94" t="s">
        <v>355</v>
      </c>
      <c r="FD41" s="94" t="s">
        <v>356</v>
      </c>
      <c r="FE41" s="98">
        <v>3987</v>
      </c>
    </row>
    <row r="42" spans="2:161" ht="20.100000000000001" customHeight="1">
      <c r="FB42" s="94" t="s">
        <v>357</v>
      </c>
      <c r="FC42" s="94" t="s">
        <v>357</v>
      </c>
      <c r="FD42" s="94" t="s">
        <v>358</v>
      </c>
      <c r="FE42" s="98">
        <v>4017</v>
      </c>
    </row>
    <row r="43" spans="2:161" ht="20.100000000000001" customHeight="1">
      <c r="C43" s="50" t="s">
        <v>69</v>
      </c>
      <c r="CD43" s="438" t="s">
        <v>816</v>
      </c>
      <c r="CE43" s="438"/>
      <c r="CF43" s="438"/>
      <c r="CG43" s="438"/>
      <c r="CH43" s="438"/>
      <c r="CI43" s="438"/>
      <c r="CJ43" s="438"/>
      <c r="CK43" s="438"/>
      <c r="CL43" s="438"/>
      <c r="CM43" s="438"/>
      <c r="CN43" s="438"/>
      <c r="CO43" s="438"/>
      <c r="CP43" s="438"/>
      <c r="CQ43" s="438"/>
      <c r="CR43" s="438"/>
      <c r="CS43" s="438"/>
      <c r="CT43" s="438"/>
      <c r="CU43" s="438"/>
      <c r="CV43" s="438"/>
      <c r="CW43" s="438"/>
      <c r="CX43" s="438"/>
      <c r="CY43" s="438"/>
      <c r="CZ43" s="438"/>
      <c r="DA43" s="438"/>
      <c r="DB43" s="438"/>
      <c r="DC43" s="438"/>
      <c r="DD43" s="438"/>
      <c r="DE43" s="438"/>
      <c r="DF43" s="438"/>
      <c r="DG43" s="438"/>
      <c r="DH43" s="438"/>
      <c r="DI43" s="438"/>
      <c r="DJ43" s="438"/>
      <c r="DK43" s="438"/>
      <c r="DL43" s="438"/>
      <c r="DM43" s="438"/>
      <c r="DN43" s="438"/>
      <c r="DO43" s="438"/>
      <c r="DP43" s="438"/>
      <c r="DQ43" s="438"/>
      <c r="DR43" s="438"/>
      <c r="DS43" s="438"/>
      <c r="DT43" s="438"/>
      <c r="DU43" s="438"/>
      <c r="DV43" s="438"/>
      <c r="DW43" s="438"/>
      <c r="DX43" s="438"/>
      <c r="DY43" s="438"/>
      <c r="FB43" s="94" t="s">
        <v>359</v>
      </c>
      <c r="FC43" s="94" t="s">
        <v>360</v>
      </c>
      <c r="FD43" s="94" t="s">
        <v>361</v>
      </c>
      <c r="FE43" s="98">
        <v>1202</v>
      </c>
    </row>
    <row r="44" spans="2:161" ht="20.100000000000001" customHeight="1">
      <c r="C44" s="50" t="s">
        <v>70</v>
      </c>
      <c r="BO44" s="76"/>
      <c r="CD44" s="438"/>
      <c r="CE44" s="438"/>
      <c r="CF44" s="438"/>
      <c r="CG44" s="438"/>
      <c r="CH44" s="438"/>
      <c r="CI44" s="438"/>
      <c r="CJ44" s="438"/>
      <c r="CK44" s="438"/>
      <c r="CL44" s="438"/>
      <c r="CM44" s="438"/>
      <c r="CN44" s="438"/>
      <c r="CO44" s="438"/>
      <c r="CP44" s="438"/>
      <c r="CQ44" s="438"/>
      <c r="CR44" s="438"/>
      <c r="CS44" s="438"/>
      <c r="CT44" s="438"/>
      <c r="CU44" s="438"/>
      <c r="CV44" s="438"/>
      <c r="CW44" s="438"/>
      <c r="CX44" s="438"/>
      <c r="CY44" s="438"/>
      <c r="CZ44" s="438"/>
      <c r="DA44" s="438"/>
      <c r="DB44" s="438"/>
      <c r="DC44" s="438"/>
      <c r="DD44" s="438"/>
      <c r="DE44" s="438"/>
      <c r="DF44" s="438"/>
      <c r="DG44" s="438"/>
      <c r="DH44" s="438"/>
      <c r="DI44" s="438"/>
      <c r="DJ44" s="438"/>
      <c r="DK44" s="438"/>
      <c r="DL44" s="438"/>
      <c r="DM44" s="438"/>
      <c r="DN44" s="438"/>
      <c r="DO44" s="438"/>
      <c r="DP44" s="438"/>
      <c r="DQ44" s="438"/>
      <c r="DR44" s="438"/>
      <c r="DS44" s="438"/>
      <c r="DT44" s="438"/>
      <c r="DU44" s="438"/>
      <c r="DV44" s="438"/>
      <c r="DW44" s="438"/>
      <c r="DX44" s="438"/>
      <c r="DY44" s="438"/>
      <c r="FB44" s="94" t="s">
        <v>362</v>
      </c>
      <c r="FC44" s="94" t="s">
        <v>362</v>
      </c>
      <c r="FD44" s="94" t="s">
        <v>363</v>
      </c>
      <c r="FE44" s="98">
        <v>2189</v>
      </c>
    </row>
    <row r="45" spans="2:161" ht="20.100000000000001" customHeight="1">
      <c r="FB45" s="94" t="s">
        <v>364</v>
      </c>
      <c r="FC45" s="94" t="s">
        <v>364</v>
      </c>
      <c r="FD45" s="94" t="s">
        <v>365</v>
      </c>
      <c r="FE45" s="98">
        <v>2184</v>
      </c>
    </row>
    <row r="46" spans="2:161" ht="20.100000000000001" customHeight="1">
      <c r="FB46" s="94" t="s">
        <v>366</v>
      </c>
      <c r="FC46" s="94" t="s">
        <v>366</v>
      </c>
      <c r="FD46" s="94" t="s">
        <v>367</v>
      </c>
      <c r="FE46" s="98">
        <v>9940</v>
      </c>
    </row>
    <row r="47" spans="2:161" ht="20.100000000000001" customHeight="1">
      <c r="FB47" s="94" t="s">
        <v>368</v>
      </c>
      <c r="FC47" s="94" t="s">
        <v>368</v>
      </c>
      <c r="FD47" s="94" t="s">
        <v>369</v>
      </c>
      <c r="FE47" s="98">
        <v>2211</v>
      </c>
    </row>
    <row r="48" spans="2:161" ht="20.100000000000001" customHeight="1">
      <c r="FB48" s="94" t="s">
        <v>370</v>
      </c>
      <c r="FC48" s="94" t="s">
        <v>370</v>
      </c>
      <c r="FD48" s="94" t="s">
        <v>371</v>
      </c>
      <c r="FE48" s="98">
        <v>2106</v>
      </c>
    </row>
    <row r="49" spans="158:161" ht="20.100000000000001" customHeight="1">
      <c r="FB49" s="94" t="s">
        <v>372</v>
      </c>
      <c r="FC49" s="94" t="s">
        <v>372</v>
      </c>
      <c r="FD49" s="94" t="s">
        <v>373</v>
      </c>
      <c r="FE49" s="98">
        <v>2113</v>
      </c>
    </row>
    <row r="50" spans="158:161" ht="20.100000000000001" customHeight="1">
      <c r="FB50" s="94" t="s">
        <v>374</v>
      </c>
      <c r="FC50" s="94" t="s">
        <v>374</v>
      </c>
      <c r="FD50" s="94" t="s">
        <v>375</v>
      </c>
      <c r="FE50" s="98">
        <v>2294</v>
      </c>
    </row>
    <row r="51" spans="158:161" ht="20.100000000000001" customHeight="1">
      <c r="FB51" s="94" t="s">
        <v>376</v>
      </c>
      <c r="FC51" s="94" t="s">
        <v>376</v>
      </c>
      <c r="FD51" s="94" t="s">
        <v>377</v>
      </c>
      <c r="FE51" s="98">
        <v>2006</v>
      </c>
    </row>
    <row r="52" spans="158:161" ht="20.100000000000001" customHeight="1">
      <c r="FB52" s="94" t="s">
        <v>378</v>
      </c>
      <c r="FC52" s="94" t="s">
        <v>379</v>
      </c>
      <c r="FD52" s="94" t="s">
        <v>380</v>
      </c>
      <c r="FE52" s="98">
        <v>2264</v>
      </c>
    </row>
    <row r="53" spans="158:161" ht="20.100000000000001" customHeight="1">
      <c r="FB53" s="94" t="s">
        <v>381</v>
      </c>
      <c r="FC53" s="94" t="s">
        <v>381</v>
      </c>
      <c r="FD53" s="94" t="s">
        <v>382</v>
      </c>
      <c r="FE53" s="98">
        <v>2207</v>
      </c>
    </row>
    <row r="54" spans="158:161" ht="20.100000000000001" customHeight="1">
      <c r="FB54" s="94" t="s">
        <v>383</v>
      </c>
      <c r="FC54" s="94" t="s">
        <v>383</v>
      </c>
      <c r="FD54" s="94" t="s">
        <v>384</v>
      </c>
      <c r="FE54" s="98">
        <v>1249</v>
      </c>
    </row>
    <row r="55" spans="158:161" ht="20.100000000000001" customHeight="1">
      <c r="FB55" s="94" t="s">
        <v>385</v>
      </c>
      <c r="FC55" s="94" t="s">
        <v>385</v>
      </c>
      <c r="FD55" s="94" t="s">
        <v>386</v>
      </c>
      <c r="FE55" s="98">
        <v>2187</v>
      </c>
    </row>
    <row r="56" spans="158:161" ht="20.100000000000001" customHeight="1">
      <c r="FB56" s="94" t="s">
        <v>387</v>
      </c>
      <c r="FC56" s="94" t="s">
        <v>388</v>
      </c>
      <c r="FD56" s="94" t="s">
        <v>389</v>
      </c>
      <c r="FE56" s="98">
        <v>2086</v>
      </c>
    </row>
    <row r="57" spans="158:161" ht="20.100000000000001" customHeight="1">
      <c r="FB57" s="94" t="s">
        <v>390</v>
      </c>
      <c r="FC57" s="94" t="s">
        <v>390</v>
      </c>
      <c r="FD57" s="94" t="s">
        <v>391</v>
      </c>
      <c r="FE57" s="98">
        <v>1252</v>
      </c>
    </row>
    <row r="58" spans="158:161" ht="20.100000000000001" customHeight="1">
      <c r="FB58" s="94" t="s">
        <v>392</v>
      </c>
      <c r="FC58" s="94" t="s">
        <v>392</v>
      </c>
      <c r="FD58" s="94" t="s">
        <v>393</v>
      </c>
      <c r="FE58" s="98">
        <v>2143</v>
      </c>
    </row>
    <row r="59" spans="158:161" ht="20.100000000000001" customHeight="1">
      <c r="FB59" s="94" t="s">
        <v>394</v>
      </c>
      <c r="FC59" s="94" t="s">
        <v>394</v>
      </c>
      <c r="FD59" s="94" t="s">
        <v>395</v>
      </c>
      <c r="FE59" s="98">
        <v>1964</v>
      </c>
    </row>
    <row r="60" spans="158:161" ht="20.100000000000001" customHeight="1">
      <c r="FB60" s="94" t="s">
        <v>396</v>
      </c>
      <c r="FC60" s="94" t="s">
        <v>396</v>
      </c>
      <c r="FD60" s="94" t="s">
        <v>397</v>
      </c>
      <c r="FE60" s="98">
        <v>2166</v>
      </c>
    </row>
    <row r="61" spans="158:161" ht="20.100000000000001" customHeight="1">
      <c r="FB61" s="94" t="s">
        <v>398</v>
      </c>
      <c r="FC61" s="94" t="s">
        <v>399</v>
      </c>
      <c r="FD61" s="94" t="s">
        <v>400</v>
      </c>
      <c r="FE61" s="98">
        <v>1372</v>
      </c>
    </row>
    <row r="62" spans="158:161" ht="20.100000000000001" customHeight="1">
      <c r="FB62" s="94" t="s">
        <v>401</v>
      </c>
      <c r="FC62" s="94" t="s">
        <v>402</v>
      </c>
      <c r="FD62" s="94" t="s">
        <v>403</v>
      </c>
      <c r="FE62" s="98" t="s">
        <v>756</v>
      </c>
    </row>
    <row r="63" spans="158:161" ht="20.100000000000001" customHeight="1">
      <c r="FB63" s="94" t="s">
        <v>404</v>
      </c>
      <c r="FC63" s="94" t="s">
        <v>405</v>
      </c>
      <c r="FD63" s="94" t="s">
        <v>406</v>
      </c>
      <c r="FE63" s="98">
        <v>2059</v>
      </c>
    </row>
    <row r="64" spans="158:161" ht="20.100000000000001" customHeight="1">
      <c r="FB64" s="94" t="s">
        <v>407</v>
      </c>
      <c r="FC64" s="94" t="s">
        <v>407</v>
      </c>
      <c r="FD64" s="94" t="s">
        <v>408</v>
      </c>
      <c r="FE64" s="98">
        <v>2186</v>
      </c>
    </row>
    <row r="65" spans="158:161" ht="20.100000000000001" customHeight="1">
      <c r="FB65" s="94" t="s">
        <v>409</v>
      </c>
      <c r="FC65" s="94" t="s">
        <v>409</v>
      </c>
      <c r="FD65" s="94" t="s">
        <v>410</v>
      </c>
      <c r="FE65" s="98">
        <v>2132</v>
      </c>
    </row>
    <row r="66" spans="158:161" ht="20.100000000000001" customHeight="1">
      <c r="FB66" s="94" t="s">
        <v>411</v>
      </c>
      <c r="FC66" s="94" t="s">
        <v>411</v>
      </c>
      <c r="FD66" s="94" t="s">
        <v>412</v>
      </c>
      <c r="FE66" s="98" t="s">
        <v>757</v>
      </c>
    </row>
    <row r="67" spans="158:161" ht="20.100000000000001" customHeight="1">
      <c r="FB67" s="94" t="s">
        <v>413</v>
      </c>
      <c r="FC67" s="94" t="s">
        <v>413</v>
      </c>
      <c r="FD67" s="94" t="s">
        <v>414</v>
      </c>
      <c r="FE67" s="98">
        <v>4895</v>
      </c>
    </row>
    <row r="68" spans="158:161" ht="20.100000000000001" customHeight="1">
      <c r="FB68" s="94" t="s">
        <v>415</v>
      </c>
      <c r="FC68" s="94" t="s">
        <v>416</v>
      </c>
      <c r="FD68" s="94" t="s">
        <v>417</v>
      </c>
      <c r="FE68" s="98">
        <v>4950</v>
      </c>
    </row>
    <row r="69" spans="158:161" ht="20.100000000000001" customHeight="1">
      <c r="FB69" s="94" t="s">
        <v>418</v>
      </c>
      <c r="FC69" s="94" t="s">
        <v>418</v>
      </c>
      <c r="FD69" s="94" t="s">
        <v>419</v>
      </c>
      <c r="FE69" s="98">
        <v>4896</v>
      </c>
    </row>
    <row r="70" spans="158:161" ht="20.100000000000001" customHeight="1">
      <c r="FB70" s="94" t="s">
        <v>420</v>
      </c>
      <c r="FC70" s="94" t="s">
        <v>420</v>
      </c>
      <c r="FD70" s="94" t="s">
        <v>421</v>
      </c>
      <c r="FE70" s="98">
        <v>6812</v>
      </c>
    </row>
    <row r="71" spans="158:161" ht="20.100000000000001" customHeight="1">
      <c r="FB71" s="94" t="s">
        <v>422</v>
      </c>
      <c r="FC71" s="94" t="s">
        <v>422</v>
      </c>
      <c r="FD71" s="94" t="s">
        <v>423</v>
      </c>
      <c r="FE71" s="98">
        <v>4676</v>
      </c>
    </row>
    <row r="72" spans="158:161" ht="20.100000000000001" customHeight="1">
      <c r="FB72" s="94" t="s">
        <v>424</v>
      </c>
      <c r="FC72" s="94" t="s">
        <v>424</v>
      </c>
      <c r="FD72" s="94" t="s">
        <v>425</v>
      </c>
      <c r="FE72" s="98">
        <v>4663</v>
      </c>
    </row>
    <row r="73" spans="158:161" ht="20.100000000000001" customHeight="1">
      <c r="FB73" s="94" t="s">
        <v>426</v>
      </c>
      <c r="FC73" s="94" t="s">
        <v>426</v>
      </c>
      <c r="FD73" s="94" t="s">
        <v>427</v>
      </c>
      <c r="FE73" s="98">
        <v>4522</v>
      </c>
    </row>
    <row r="74" spans="158:161" ht="20.100000000000001" customHeight="1">
      <c r="FB74" s="94" t="s">
        <v>428</v>
      </c>
      <c r="FC74" s="94" t="s">
        <v>428</v>
      </c>
      <c r="FD74" s="94" t="s">
        <v>429</v>
      </c>
      <c r="FE74" s="98">
        <v>4600</v>
      </c>
    </row>
    <row r="75" spans="158:161" ht="20.100000000000001" customHeight="1">
      <c r="FB75" s="94" t="s">
        <v>430</v>
      </c>
      <c r="FC75" s="94" t="s">
        <v>430</v>
      </c>
      <c r="FD75" s="94" t="s">
        <v>431</v>
      </c>
      <c r="FE75" s="98">
        <v>5249</v>
      </c>
    </row>
    <row r="76" spans="158:161" ht="20.100000000000001" customHeight="1">
      <c r="FB76" s="94" t="s">
        <v>432</v>
      </c>
      <c r="FC76" s="94" t="s">
        <v>432</v>
      </c>
      <c r="FD76" s="94" t="s">
        <v>433</v>
      </c>
      <c r="FE76" s="98">
        <v>1651</v>
      </c>
    </row>
    <row r="77" spans="158:161" ht="20.100000000000001" customHeight="1">
      <c r="FB77" s="94" t="s">
        <v>434</v>
      </c>
      <c r="FC77" s="94" t="s">
        <v>434</v>
      </c>
      <c r="FD77" s="94" t="s">
        <v>435</v>
      </c>
      <c r="FE77" s="98">
        <v>4863</v>
      </c>
    </row>
    <row r="78" spans="158:161" ht="20.100000000000001" customHeight="1">
      <c r="FB78" s="94" t="s">
        <v>436</v>
      </c>
      <c r="FC78" s="94" t="s">
        <v>436</v>
      </c>
      <c r="FD78" s="94" t="s">
        <v>437</v>
      </c>
      <c r="FE78" s="98">
        <v>1825</v>
      </c>
    </row>
    <row r="79" spans="158:161" ht="20.100000000000001" customHeight="1">
      <c r="FB79" s="94" t="s">
        <v>438</v>
      </c>
      <c r="FC79" s="94" t="s">
        <v>438</v>
      </c>
      <c r="FD79" s="94" t="s">
        <v>439</v>
      </c>
      <c r="FE79" s="98">
        <v>4528</v>
      </c>
    </row>
    <row r="80" spans="158:161" ht="20.100000000000001" customHeight="1">
      <c r="FB80" s="94" t="s">
        <v>440</v>
      </c>
      <c r="FC80" s="94" t="s">
        <v>440</v>
      </c>
      <c r="FD80" s="94" t="s">
        <v>441</v>
      </c>
      <c r="FE80" s="98">
        <v>1240</v>
      </c>
    </row>
    <row r="81" spans="158:161" ht="20.100000000000001" customHeight="1">
      <c r="FB81" s="94" t="s">
        <v>442</v>
      </c>
      <c r="FC81" s="94" t="s">
        <v>442</v>
      </c>
      <c r="FD81" s="94" t="s">
        <v>443</v>
      </c>
      <c r="FE81" s="98">
        <v>1243</v>
      </c>
    </row>
    <row r="82" spans="158:161" ht="20.100000000000001" customHeight="1">
      <c r="FB82" s="94" t="s">
        <v>444</v>
      </c>
      <c r="FC82" s="94" t="s">
        <v>445</v>
      </c>
      <c r="FD82" s="94" t="s">
        <v>446</v>
      </c>
      <c r="FE82" s="98">
        <v>5010</v>
      </c>
    </row>
    <row r="83" spans="158:161" ht="20.100000000000001" customHeight="1">
      <c r="FB83" s="94" t="s">
        <v>447</v>
      </c>
      <c r="FC83" s="94" t="s">
        <v>448</v>
      </c>
      <c r="FD83" s="94" t="s">
        <v>449</v>
      </c>
      <c r="FE83" s="98">
        <v>4890</v>
      </c>
    </row>
    <row r="84" spans="158:161" ht="20.100000000000001" customHeight="1">
      <c r="FB84" s="94" t="s">
        <v>450</v>
      </c>
      <c r="FC84" s="94" t="s">
        <v>450</v>
      </c>
      <c r="FD84" s="94" t="s">
        <v>451</v>
      </c>
      <c r="FE84" s="98">
        <v>4621</v>
      </c>
    </row>
    <row r="85" spans="158:161" ht="20.100000000000001" customHeight="1">
      <c r="FB85" s="94" t="s">
        <v>452</v>
      </c>
      <c r="FC85" s="94" t="s">
        <v>452</v>
      </c>
      <c r="FD85" s="94" t="s">
        <v>453</v>
      </c>
      <c r="FE85" s="98">
        <v>4887</v>
      </c>
    </row>
    <row r="86" spans="158:161" ht="20.100000000000001" customHeight="1">
      <c r="FB86" s="94" t="s">
        <v>454</v>
      </c>
      <c r="FC86" s="94" t="s">
        <v>454</v>
      </c>
      <c r="FD86" s="94" t="s">
        <v>455</v>
      </c>
      <c r="FE86" s="98">
        <v>4625</v>
      </c>
    </row>
    <row r="87" spans="158:161" ht="20.100000000000001" customHeight="1">
      <c r="FB87" s="94" t="s">
        <v>456</v>
      </c>
      <c r="FC87" s="94" t="s">
        <v>456</v>
      </c>
      <c r="FD87" s="94" t="s">
        <v>457</v>
      </c>
      <c r="FE87" s="98">
        <v>4861</v>
      </c>
    </row>
    <row r="88" spans="158:161" ht="20.100000000000001" customHeight="1">
      <c r="FB88" s="94" t="s">
        <v>458</v>
      </c>
      <c r="FC88" s="94" t="s">
        <v>458</v>
      </c>
      <c r="FD88" s="94" t="s">
        <v>459</v>
      </c>
      <c r="FE88" s="98">
        <v>1851</v>
      </c>
    </row>
    <row r="89" spans="158:161" ht="20.100000000000001" customHeight="1">
      <c r="FB89" s="94" t="s">
        <v>460</v>
      </c>
      <c r="FC89" s="94" t="s">
        <v>461</v>
      </c>
      <c r="FD89" s="94" t="s">
        <v>462</v>
      </c>
      <c r="FE89" s="98">
        <v>4803</v>
      </c>
    </row>
    <row r="90" spans="158:161" ht="20.100000000000001" customHeight="1">
      <c r="FB90" s="94" t="s">
        <v>463</v>
      </c>
      <c r="FC90" s="94" t="s">
        <v>463</v>
      </c>
      <c r="FD90" s="94" t="s">
        <v>464</v>
      </c>
      <c r="FE90" s="98">
        <v>5095</v>
      </c>
    </row>
    <row r="91" spans="158:161" ht="20.100000000000001" customHeight="1">
      <c r="FB91" s="94" t="s">
        <v>465</v>
      </c>
      <c r="FC91" s="94" t="s">
        <v>465</v>
      </c>
      <c r="FD91" s="94" t="s">
        <v>466</v>
      </c>
      <c r="FE91" s="98">
        <v>4595</v>
      </c>
    </row>
    <row r="92" spans="158:161" ht="20.100000000000001" customHeight="1">
      <c r="FB92" s="94" t="s">
        <v>467</v>
      </c>
      <c r="FC92" s="94" t="s">
        <v>467</v>
      </c>
      <c r="FD92" s="94" t="s">
        <v>468</v>
      </c>
      <c r="FE92" s="98">
        <v>4570</v>
      </c>
    </row>
    <row r="93" spans="158:161" ht="20.100000000000001" customHeight="1">
      <c r="FB93" s="94" t="s">
        <v>469</v>
      </c>
      <c r="FC93" s="94" t="s">
        <v>470</v>
      </c>
      <c r="FD93" s="94" t="s">
        <v>471</v>
      </c>
      <c r="FE93" s="98" t="s">
        <v>758</v>
      </c>
    </row>
    <row r="94" spans="158:161">
      <c r="FB94" s="94" t="s">
        <v>472</v>
      </c>
      <c r="FC94" s="94" t="s">
        <v>473</v>
      </c>
      <c r="FD94" s="94" t="s">
        <v>474</v>
      </c>
      <c r="FE94" s="98">
        <v>5247</v>
      </c>
    </row>
    <row r="95" spans="158:161">
      <c r="FB95" s="94" t="s">
        <v>475</v>
      </c>
      <c r="FC95" s="94" t="s">
        <v>476</v>
      </c>
      <c r="FD95" s="94" t="s">
        <v>477</v>
      </c>
      <c r="FE95" s="98">
        <v>1852</v>
      </c>
    </row>
    <row r="96" spans="158:161">
      <c r="FB96" s="94" t="s">
        <v>478</v>
      </c>
      <c r="FC96" s="94" t="s">
        <v>476</v>
      </c>
      <c r="FD96" s="94" t="s">
        <v>479</v>
      </c>
      <c r="FE96" s="98">
        <v>1853</v>
      </c>
    </row>
    <row r="97" spans="158:161">
      <c r="FB97" s="94" t="s">
        <v>480</v>
      </c>
      <c r="FC97" s="94" t="s">
        <v>480</v>
      </c>
      <c r="FD97" s="94" t="s">
        <v>481</v>
      </c>
      <c r="FE97" s="98">
        <v>4721</v>
      </c>
    </row>
    <row r="98" spans="158:161">
      <c r="FB98" s="94" t="s">
        <v>482</v>
      </c>
      <c r="FC98" s="94" t="s">
        <v>483</v>
      </c>
      <c r="FD98" s="94" t="s">
        <v>484</v>
      </c>
      <c r="FE98" s="98">
        <v>5016</v>
      </c>
    </row>
    <row r="99" spans="158:161">
      <c r="FB99" s="94" t="s">
        <v>485</v>
      </c>
      <c r="FC99" s="94" t="s">
        <v>486</v>
      </c>
      <c r="FD99" s="94" t="s">
        <v>487</v>
      </c>
      <c r="FE99" s="98">
        <v>4960</v>
      </c>
    </row>
    <row r="100" spans="158:161">
      <c r="FB100" s="94" t="s">
        <v>488</v>
      </c>
      <c r="FC100" s="94" t="s">
        <v>489</v>
      </c>
      <c r="FD100" s="94" t="s">
        <v>490</v>
      </c>
      <c r="FE100" s="98">
        <v>4793</v>
      </c>
    </row>
    <row r="101" spans="158:161">
      <c r="FB101" s="94" t="s">
        <v>491</v>
      </c>
      <c r="FC101" s="94" t="s">
        <v>491</v>
      </c>
      <c r="FD101" s="94" t="s">
        <v>492</v>
      </c>
      <c r="FE101" s="98">
        <v>4892</v>
      </c>
    </row>
    <row r="102" spans="158:161">
      <c r="FB102" s="94" t="s">
        <v>493</v>
      </c>
      <c r="FC102" s="94" t="s">
        <v>493</v>
      </c>
      <c r="FD102" s="94" t="s">
        <v>494</v>
      </c>
      <c r="FE102" s="98">
        <v>4891</v>
      </c>
    </row>
    <row r="103" spans="158:161">
      <c r="FB103" s="94" t="s">
        <v>495</v>
      </c>
      <c r="FC103" s="94" t="s">
        <v>495</v>
      </c>
      <c r="FD103" s="94" t="s">
        <v>496</v>
      </c>
      <c r="FE103" s="98" t="s">
        <v>759</v>
      </c>
    </row>
    <row r="104" spans="158:161">
      <c r="FB104" s="94" t="s">
        <v>497</v>
      </c>
      <c r="FC104" s="94" t="s">
        <v>498</v>
      </c>
      <c r="FD104" s="94" t="s">
        <v>499</v>
      </c>
      <c r="FE104" s="98">
        <v>5456</v>
      </c>
    </row>
    <row r="105" spans="158:161">
      <c r="FB105" s="94" t="s">
        <v>500</v>
      </c>
      <c r="FC105" s="94" t="s">
        <v>500</v>
      </c>
      <c r="FD105" s="94" t="s">
        <v>501</v>
      </c>
      <c r="FE105" s="98" t="s">
        <v>760</v>
      </c>
    </row>
    <row r="106" spans="158:161">
      <c r="FB106" s="94" t="s">
        <v>502</v>
      </c>
      <c r="FC106" s="94" t="s">
        <v>502</v>
      </c>
      <c r="FD106" s="94" t="s">
        <v>503</v>
      </c>
      <c r="FE106" s="98" t="s">
        <v>761</v>
      </c>
    </row>
    <row r="107" spans="158:161">
      <c r="FB107" s="94" t="s">
        <v>504</v>
      </c>
      <c r="FC107" s="94" t="s">
        <v>504</v>
      </c>
      <c r="FD107" s="94" t="s">
        <v>505</v>
      </c>
      <c r="FE107" s="98" t="s">
        <v>762</v>
      </c>
    </row>
    <row r="108" spans="158:161">
      <c r="FB108" s="94" t="s">
        <v>506</v>
      </c>
      <c r="FC108" s="94" t="s">
        <v>506</v>
      </c>
      <c r="FD108" s="94" t="s">
        <v>507</v>
      </c>
      <c r="FE108" s="98" t="s">
        <v>763</v>
      </c>
    </row>
    <row r="109" spans="158:161">
      <c r="FB109" s="94" t="s">
        <v>508</v>
      </c>
      <c r="FC109" s="94" t="s">
        <v>508</v>
      </c>
      <c r="FD109" s="94" t="s">
        <v>509</v>
      </c>
      <c r="FE109" s="98">
        <v>5424</v>
      </c>
    </row>
    <row r="110" spans="158:161">
      <c r="FB110" s="94" t="s">
        <v>510</v>
      </c>
      <c r="FC110" s="94" t="s">
        <v>511</v>
      </c>
      <c r="FD110" s="94" t="s">
        <v>512</v>
      </c>
      <c r="FE110" s="98" t="s">
        <v>764</v>
      </c>
    </row>
    <row r="111" spans="158:161">
      <c r="FB111" s="94" t="s">
        <v>513</v>
      </c>
      <c r="FC111" s="94" t="s">
        <v>513</v>
      </c>
      <c r="FD111" s="94" t="s">
        <v>514</v>
      </c>
      <c r="FE111" s="98" t="s">
        <v>765</v>
      </c>
    </row>
    <row r="112" spans="158:161">
      <c r="FB112" s="94" t="s">
        <v>515</v>
      </c>
      <c r="FC112" s="94" t="s">
        <v>515</v>
      </c>
      <c r="FD112" s="94" t="s">
        <v>516</v>
      </c>
      <c r="FE112" s="98" t="s">
        <v>766</v>
      </c>
    </row>
    <row r="113" spans="158:161">
      <c r="FB113" s="94" t="s">
        <v>517</v>
      </c>
      <c r="FC113" s="94" t="s">
        <v>517</v>
      </c>
      <c r="FD113" s="94" t="s">
        <v>518</v>
      </c>
      <c r="FE113" s="98">
        <v>5642</v>
      </c>
    </row>
    <row r="114" spans="158:161">
      <c r="FB114" s="94" t="s">
        <v>519</v>
      </c>
      <c r="FC114" s="94" t="s">
        <v>519</v>
      </c>
      <c r="FD114" s="94" t="s">
        <v>520</v>
      </c>
      <c r="FE114" s="98">
        <v>5647</v>
      </c>
    </row>
    <row r="115" spans="158:161">
      <c r="FB115" s="94" t="s">
        <v>521</v>
      </c>
      <c r="FC115" s="94" t="s">
        <v>521</v>
      </c>
      <c r="FD115" s="94" t="s">
        <v>522</v>
      </c>
      <c r="FE115" s="98" t="s">
        <v>767</v>
      </c>
    </row>
    <row r="116" spans="158:161">
      <c r="FB116" s="94" t="s">
        <v>523</v>
      </c>
      <c r="FC116" s="94" t="s">
        <v>523</v>
      </c>
      <c r="FD116" s="94" t="s">
        <v>524</v>
      </c>
      <c r="FE116" s="98" t="s">
        <v>768</v>
      </c>
    </row>
    <row r="117" spans="158:161">
      <c r="FB117" s="94" t="s">
        <v>525</v>
      </c>
      <c r="FC117" s="94" t="s">
        <v>525</v>
      </c>
      <c r="FD117" s="94" t="s">
        <v>526</v>
      </c>
      <c r="FE117" s="98" t="s">
        <v>769</v>
      </c>
    </row>
    <row r="118" spans="158:161">
      <c r="FB118" s="94" t="s">
        <v>527</v>
      </c>
      <c r="FC118" s="94" t="s">
        <v>527</v>
      </c>
      <c r="FD118" s="94" t="s">
        <v>528</v>
      </c>
      <c r="FE118" s="98">
        <v>5630</v>
      </c>
    </row>
    <row r="119" spans="158:161">
      <c r="FB119" s="94" t="s">
        <v>529</v>
      </c>
      <c r="FC119" s="94" t="s">
        <v>530</v>
      </c>
      <c r="FD119" s="94" t="s">
        <v>531</v>
      </c>
      <c r="FE119" s="98">
        <v>5562</v>
      </c>
    </row>
    <row r="120" spans="158:161">
      <c r="FB120" s="94" t="s">
        <v>532</v>
      </c>
      <c r="FC120" s="94" t="s">
        <v>532</v>
      </c>
      <c r="FD120" s="94" t="s">
        <v>533</v>
      </c>
      <c r="FE120" s="98">
        <v>5555</v>
      </c>
    </row>
    <row r="121" spans="158:161">
      <c r="FB121" s="94" t="s">
        <v>534</v>
      </c>
      <c r="FC121" s="94" t="s">
        <v>534</v>
      </c>
      <c r="FD121" s="94" t="s">
        <v>535</v>
      </c>
      <c r="FE121" s="98">
        <v>5561</v>
      </c>
    </row>
    <row r="122" spans="158:161">
      <c r="FB122" s="94" t="s">
        <v>536</v>
      </c>
      <c r="FC122" s="94" t="s">
        <v>536</v>
      </c>
      <c r="FD122" s="94" t="s">
        <v>537</v>
      </c>
      <c r="FE122" s="98">
        <v>5586</v>
      </c>
    </row>
    <row r="123" spans="158:161">
      <c r="FB123" s="94" t="s">
        <v>538</v>
      </c>
      <c r="FC123" s="94" t="s">
        <v>539</v>
      </c>
      <c r="FD123" s="94" t="s">
        <v>540</v>
      </c>
      <c r="FE123" s="98">
        <v>5556</v>
      </c>
    </row>
    <row r="124" spans="158:161">
      <c r="FB124" s="94" t="s">
        <v>541</v>
      </c>
      <c r="FC124" s="94" t="s">
        <v>541</v>
      </c>
      <c r="FD124" s="94" t="s">
        <v>542</v>
      </c>
      <c r="FE124" s="98" t="s">
        <v>770</v>
      </c>
    </row>
    <row r="125" spans="158:161">
      <c r="FB125" s="94" t="s">
        <v>543</v>
      </c>
      <c r="FC125" s="94" t="s">
        <v>543</v>
      </c>
      <c r="FD125" s="94" t="s">
        <v>544</v>
      </c>
      <c r="FE125" s="98">
        <v>5673</v>
      </c>
    </row>
    <row r="126" spans="158:161">
      <c r="FB126" s="94" t="s">
        <v>545</v>
      </c>
      <c r="FC126" s="94" t="s">
        <v>545</v>
      </c>
      <c r="FD126" s="94" t="s">
        <v>546</v>
      </c>
      <c r="FE126" s="98">
        <v>5609</v>
      </c>
    </row>
    <row r="127" spans="158:161">
      <c r="FB127" s="94" t="s">
        <v>547</v>
      </c>
      <c r="FC127" s="94" t="s">
        <v>547</v>
      </c>
      <c r="FD127" s="94" t="s">
        <v>548</v>
      </c>
      <c r="FE127" s="98">
        <v>5397</v>
      </c>
    </row>
    <row r="128" spans="158:161">
      <c r="FB128" s="94" t="s">
        <v>549</v>
      </c>
      <c r="FC128" s="94" t="s">
        <v>549</v>
      </c>
      <c r="FD128" s="94" t="s">
        <v>550</v>
      </c>
      <c r="FE128" s="98">
        <v>5484</v>
      </c>
    </row>
    <row r="129" spans="158:161">
      <c r="FB129" s="94" t="s">
        <v>551</v>
      </c>
      <c r="FC129" s="94" t="s">
        <v>551</v>
      </c>
      <c r="FD129" s="94" t="s">
        <v>552</v>
      </c>
      <c r="FE129" s="98">
        <v>5612</v>
      </c>
    </row>
    <row r="130" spans="158:161">
      <c r="FB130" s="94" t="s">
        <v>553</v>
      </c>
      <c r="FC130" s="94" t="s">
        <v>553</v>
      </c>
      <c r="FD130" s="94" t="s">
        <v>554</v>
      </c>
      <c r="FE130" s="98">
        <v>5672</v>
      </c>
    </row>
    <row r="131" spans="158:161">
      <c r="FB131" s="94" t="s">
        <v>555</v>
      </c>
      <c r="FC131" s="94" t="s">
        <v>555</v>
      </c>
      <c r="FD131" s="94" t="s">
        <v>556</v>
      </c>
      <c r="FE131" s="98">
        <v>3385</v>
      </c>
    </row>
    <row r="132" spans="158:161">
      <c r="FB132" s="94" t="s">
        <v>557</v>
      </c>
      <c r="FC132" s="94" t="s">
        <v>558</v>
      </c>
      <c r="FD132" s="94" t="s">
        <v>559</v>
      </c>
      <c r="FE132" s="98">
        <v>3882</v>
      </c>
    </row>
    <row r="133" spans="158:161">
      <c r="FB133" s="94" t="s">
        <v>560</v>
      </c>
      <c r="FC133" s="94" t="s">
        <v>560</v>
      </c>
      <c r="FD133" s="94" t="s">
        <v>561</v>
      </c>
      <c r="FE133" s="98">
        <v>3887</v>
      </c>
    </row>
    <row r="134" spans="158:161">
      <c r="FB134" s="94" t="s">
        <v>562</v>
      </c>
      <c r="FC134" s="94" t="s">
        <v>562</v>
      </c>
      <c r="FD134" s="94" t="s">
        <v>563</v>
      </c>
      <c r="FE134" s="98">
        <v>3841</v>
      </c>
    </row>
    <row r="135" spans="158:161">
      <c r="FB135" s="94" t="s">
        <v>564</v>
      </c>
      <c r="FC135" s="94" t="s">
        <v>564</v>
      </c>
      <c r="FD135" s="94" t="s">
        <v>565</v>
      </c>
      <c r="FE135" s="98">
        <v>3599</v>
      </c>
    </row>
    <row r="136" spans="158:161">
      <c r="FB136" s="94" t="s">
        <v>566</v>
      </c>
      <c r="FC136" s="94" t="s">
        <v>567</v>
      </c>
      <c r="FD136" s="94" t="s">
        <v>568</v>
      </c>
      <c r="FE136" s="98">
        <v>3610</v>
      </c>
    </row>
    <row r="137" spans="158:161">
      <c r="FB137" s="94" t="s">
        <v>569</v>
      </c>
      <c r="FC137" s="94" t="s">
        <v>570</v>
      </c>
      <c r="FD137" s="94" t="s">
        <v>571</v>
      </c>
      <c r="FE137" s="98">
        <v>3818</v>
      </c>
    </row>
    <row r="138" spans="158:161">
      <c r="FB138" s="94" t="s">
        <v>572</v>
      </c>
      <c r="FC138" s="94" t="s">
        <v>572</v>
      </c>
      <c r="FD138" s="94" t="s">
        <v>573</v>
      </c>
      <c r="FE138" s="98">
        <v>2088</v>
      </c>
    </row>
    <row r="139" spans="158:161">
      <c r="FB139" s="94" t="s">
        <v>574</v>
      </c>
      <c r="FC139" s="94" t="s">
        <v>575</v>
      </c>
      <c r="FD139" s="94" t="s">
        <v>576</v>
      </c>
      <c r="FE139" s="98">
        <v>3881</v>
      </c>
    </row>
    <row r="140" spans="158:161">
      <c r="FB140" s="94" t="s">
        <v>577</v>
      </c>
      <c r="FC140" s="94" t="s">
        <v>578</v>
      </c>
      <c r="FD140" s="94" t="s">
        <v>579</v>
      </c>
      <c r="FE140" s="98">
        <v>3616</v>
      </c>
    </row>
    <row r="141" spans="158:161">
      <c r="FB141" s="94" t="s">
        <v>580</v>
      </c>
      <c r="FC141" s="94" t="s">
        <v>581</v>
      </c>
      <c r="FD141" s="94" t="s">
        <v>582</v>
      </c>
      <c r="FE141" s="98">
        <v>3421</v>
      </c>
    </row>
    <row r="142" spans="158:161">
      <c r="FB142" s="94" t="s">
        <v>583</v>
      </c>
      <c r="FC142" s="94" t="s">
        <v>583</v>
      </c>
      <c r="FD142" s="94" t="s">
        <v>584</v>
      </c>
      <c r="FE142" s="98">
        <v>3888</v>
      </c>
    </row>
    <row r="143" spans="158:161">
      <c r="FB143" s="94" t="s">
        <v>585</v>
      </c>
      <c r="FC143" s="94" t="s">
        <v>586</v>
      </c>
      <c r="FD143" s="94" t="s">
        <v>587</v>
      </c>
      <c r="FE143" s="98">
        <v>3622</v>
      </c>
    </row>
    <row r="144" spans="158:161">
      <c r="FB144" s="94" t="s">
        <v>588</v>
      </c>
      <c r="FC144" s="94" t="s">
        <v>589</v>
      </c>
      <c r="FD144" s="94" t="s">
        <v>590</v>
      </c>
      <c r="FE144" s="98">
        <v>3416</v>
      </c>
    </row>
    <row r="145" spans="158:161">
      <c r="FB145" s="95" t="s">
        <v>591</v>
      </c>
      <c r="FC145" s="94" t="s">
        <v>591</v>
      </c>
      <c r="FD145" s="94" t="s">
        <v>592</v>
      </c>
      <c r="FE145" s="99">
        <v>2834</v>
      </c>
    </row>
    <row r="146" spans="158:161">
      <c r="FB146" s="96" t="s">
        <v>591</v>
      </c>
      <c r="FC146" s="96" t="s">
        <v>591</v>
      </c>
      <c r="FD146" s="97" t="s">
        <v>592</v>
      </c>
      <c r="FE146" s="100">
        <v>3300</v>
      </c>
    </row>
    <row r="147" spans="158:161">
      <c r="FB147" s="94" t="s">
        <v>593</v>
      </c>
      <c r="FC147" s="94" t="s">
        <v>593</v>
      </c>
      <c r="FD147" s="94" t="s">
        <v>594</v>
      </c>
      <c r="FE147" s="98">
        <v>3620</v>
      </c>
    </row>
    <row r="148" spans="158:161">
      <c r="FB148" s="94" t="s">
        <v>595</v>
      </c>
      <c r="FC148" s="94" t="s">
        <v>596</v>
      </c>
      <c r="FD148" s="94" t="s">
        <v>597</v>
      </c>
      <c r="FE148" s="98">
        <v>3868</v>
      </c>
    </row>
    <row r="149" spans="158:161">
      <c r="FB149" s="94" t="s">
        <v>598</v>
      </c>
      <c r="FC149" s="94" t="s">
        <v>598</v>
      </c>
      <c r="FD149" s="94" t="s">
        <v>599</v>
      </c>
      <c r="FE149" s="98">
        <v>3578</v>
      </c>
    </row>
    <row r="150" spans="158:161">
      <c r="FB150" s="94" t="s">
        <v>600</v>
      </c>
      <c r="FC150" s="94" t="s">
        <v>600</v>
      </c>
      <c r="FD150" s="94" t="s">
        <v>601</v>
      </c>
      <c r="FE150" s="98">
        <v>3835</v>
      </c>
    </row>
    <row r="151" spans="158:161">
      <c r="FB151" s="94" t="s">
        <v>602</v>
      </c>
      <c r="FC151" s="94" t="s">
        <v>602</v>
      </c>
      <c r="FD151" s="94" t="s">
        <v>603</v>
      </c>
      <c r="FE151" s="98">
        <v>3080</v>
      </c>
    </row>
    <row r="152" spans="158:161">
      <c r="FB152" s="94" t="s">
        <v>604</v>
      </c>
      <c r="FC152" s="94" t="s">
        <v>604</v>
      </c>
      <c r="FD152" s="94" t="s">
        <v>605</v>
      </c>
      <c r="FE152" s="98" t="s">
        <v>771</v>
      </c>
    </row>
    <row r="153" spans="158:161">
      <c r="FB153" s="94" t="s">
        <v>606</v>
      </c>
      <c r="FC153" s="94" t="s">
        <v>607</v>
      </c>
      <c r="FD153" s="94" t="s">
        <v>608</v>
      </c>
      <c r="FE153" s="98" t="s">
        <v>772</v>
      </c>
    </row>
    <row r="154" spans="158:161">
      <c r="FB154" s="94" t="s">
        <v>609</v>
      </c>
      <c r="FC154" s="94" t="s">
        <v>610</v>
      </c>
      <c r="FD154" s="94" t="s">
        <v>611</v>
      </c>
      <c r="FE154" s="98">
        <v>1458</v>
      </c>
    </row>
    <row r="155" spans="158:161">
      <c r="FB155" s="94" t="s">
        <v>612</v>
      </c>
      <c r="FC155" s="94" t="s">
        <v>612</v>
      </c>
      <c r="FD155" s="94" t="s">
        <v>613</v>
      </c>
      <c r="FE155" s="98">
        <v>1453</v>
      </c>
    </row>
    <row r="156" spans="158:161">
      <c r="FB156" s="94" t="s">
        <v>614</v>
      </c>
      <c r="FC156" s="94" t="s">
        <v>614</v>
      </c>
      <c r="FD156" s="94" t="s">
        <v>615</v>
      </c>
      <c r="FE156" s="98">
        <v>4249</v>
      </c>
    </row>
    <row r="157" spans="158:161">
      <c r="FB157" s="94" t="s">
        <v>616</v>
      </c>
      <c r="FC157" s="94" t="s">
        <v>617</v>
      </c>
      <c r="FD157" s="94" t="s">
        <v>618</v>
      </c>
      <c r="FE157" s="98" t="s">
        <v>773</v>
      </c>
    </row>
    <row r="158" spans="158:161">
      <c r="FB158" s="94" t="s">
        <v>619</v>
      </c>
      <c r="FC158" s="94" t="s">
        <v>619</v>
      </c>
      <c r="FD158" s="94" t="s">
        <v>620</v>
      </c>
      <c r="FE158" s="98" t="s">
        <v>774</v>
      </c>
    </row>
    <row r="159" spans="158:161">
      <c r="FB159" s="94" t="s">
        <v>621</v>
      </c>
      <c r="FC159" s="94" t="s">
        <v>621</v>
      </c>
      <c r="FD159" s="94" t="s">
        <v>622</v>
      </c>
      <c r="FE159" s="98" t="s">
        <v>775</v>
      </c>
    </row>
    <row r="160" spans="158:161">
      <c r="FB160" s="94" t="s">
        <v>623</v>
      </c>
      <c r="FC160" s="94" t="s">
        <v>623</v>
      </c>
      <c r="FD160" s="94" t="s">
        <v>624</v>
      </c>
      <c r="FE160" s="98">
        <v>1421</v>
      </c>
    </row>
    <row r="161" spans="158:161">
      <c r="FB161" s="94" t="s">
        <v>625</v>
      </c>
      <c r="FC161" s="94" t="s">
        <v>626</v>
      </c>
      <c r="FD161" s="94" t="s">
        <v>627</v>
      </c>
      <c r="FE161" s="98">
        <v>1422</v>
      </c>
    </row>
    <row r="162" spans="158:161">
      <c r="FB162" s="94" t="s">
        <v>628</v>
      </c>
      <c r="FC162" s="94" t="s">
        <v>628</v>
      </c>
      <c r="FD162" s="94" t="s">
        <v>629</v>
      </c>
      <c r="FE162" s="98" t="s">
        <v>776</v>
      </c>
    </row>
    <row r="163" spans="158:161">
      <c r="FB163" s="94" t="s">
        <v>630</v>
      </c>
      <c r="FC163" s="94" t="s">
        <v>631</v>
      </c>
      <c r="FD163" s="94" t="s">
        <v>632</v>
      </c>
      <c r="FE163" s="98" t="s">
        <v>777</v>
      </c>
    </row>
    <row r="164" spans="158:161">
      <c r="FB164" s="94" t="s">
        <v>633</v>
      </c>
      <c r="FC164" s="94" t="s">
        <v>633</v>
      </c>
      <c r="FD164" s="94" t="s">
        <v>634</v>
      </c>
      <c r="FE164" s="98" t="s">
        <v>778</v>
      </c>
    </row>
    <row r="165" spans="158:161">
      <c r="FB165" s="94" t="s">
        <v>635</v>
      </c>
      <c r="FC165" s="94" t="s">
        <v>635</v>
      </c>
      <c r="FD165" s="94" t="s">
        <v>636</v>
      </c>
      <c r="FE165" s="98" t="s">
        <v>779</v>
      </c>
    </row>
    <row r="166" spans="158:161">
      <c r="FB166" s="94" t="s">
        <v>637</v>
      </c>
      <c r="FC166" s="94" t="s">
        <v>637</v>
      </c>
      <c r="FD166" s="94" t="s">
        <v>638</v>
      </c>
      <c r="FE166" s="98" t="s">
        <v>780</v>
      </c>
    </row>
    <row r="167" spans="158:161">
      <c r="FB167" s="94" t="s">
        <v>639</v>
      </c>
      <c r="FC167" s="94" t="s">
        <v>640</v>
      </c>
      <c r="FD167" s="94" t="s">
        <v>641</v>
      </c>
      <c r="FE167" s="98" t="s">
        <v>781</v>
      </c>
    </row>
    <row r="168" spans="158:161">
      <c r="FB168" s="94" t="s">
        <v>642</v>
      </c>
      <c r="FC168" s="94" t="s">
        <v>643</v>
      </c>
      <c r="FD168" s="94" t="s">
        <v>644</v>
      </c>
      <c r="FE168" s="98" t="s">
        <v>782</v>
      </c>
    </row>
    <row r="169" spans="158:161">
      <c r="FB169" s="94" t="s">
        <v>645</v>
      </c>
      <c r="FC169" s="94" t="s">
        <v>646</v>
      </c>
      <c r="FD169" s="94" t="s">
        <v>647</v>
      </c>
      <c r="FE169" s="98" t="s">
        <v>783</v>
      </c>
    </row>
    <row r="170" spans="158:161">
      <c r="FB170" s="94" t="s">
        <v>648</v>
      </c>
      <c r="FC170" s="94" t="s">
        <v>649</v>
      </c>
      <c r="FD170" s="94" t="s">
        <v>650</v>
      </c>
      <c r="FE170" s="98" t="s">
        <v>784</v>
      </c>
    </row>
    <row r="171" spans="158:161">
      <c r="FB171" s="94" t="s">
        <v>651</v>
      </c>
      <c r="FC171" s="94" t="s">
        <v>652</v>
      </c>
      <c r="FD171" s="94" t="s">
        <v>653</v>
      </c>
      <c r="FE171" s="98" t="s">
        <v>785</v>
      </c>
    </row>
    <row r="172" spans="158:161">
      <c r="FB172" s="94" t="s">
        <v>654</v>
      </c>
      <c r="FC172" s="94" t="s">
        <v>655</v>
      </c>
      <c r="FD172" s="94" t="s">
        <v>656</v>
      </c>
      <c r="FE172" s="98">
        <v>4053</v>
      </c>
    </row>
    <row r="173" spans="158:161">
      <c r="FB173" s="94" t="s">
        <v>657</v>
      </c>
      <c r="FC173" s="94" t="s">
        <v>657</v>
      </c>
      <c r="FD173" s="94" t="s">
        <v>658</v>
      </c>
      <c r="FE173" s="98" t="s">
        <v>786</v>
      </c>
    </row>
    <row r="174" spans="158:161">
      <c r="FB174" s="94" t="s">
        <v>659</v>
      </c>
      <c r="FC174" s="94" t="s">
        <v>659</v>
      </c>
      <c r="FD174" s="94" t="s">
        <v>660</v>
      </c>
      <c r="FE174" s="98">
        <v>1386</v>
      </c>
    </row>
    <row r="175" spans="158:161">
      <c r="FB175" s="94" t="s">
        <v>661</v>
      </c>
      <c r="FC175" s="94" t="s">
        <v>661</v>
      </c>
      <c r="FD175" s="94" t="s">
        <v>662</v>
      </c>
      <c r="FE175" s="98">
        <v>1335</v>
      </c>
    </row>
    <row r="176" spans="158:161">
      <c r="FB176" s="94" t="s">
        <v>663</v>
      </c>
      <c r="FC176" s="94" t="s">
        <v>663</v>
      </c>
      <c r="FD176" s="94" t="s">
        <v>664</v>
      </c>
      <c r="FE176" s="98">
        <v>1308</v>
      </c>
    </row>
    <row r="177" spans="158:161">
      <c r="FB177" s="94" t="s">
        <v>665</v>
      </c>
      <c r="FC177" s="94" t="s">
        <v>666</v>
      </c>
      <c r="FD177" s="94" t="s">
        <v>667</v>
      </c>
      <c r="FE177" s="98">
        <v>1404</v>
      </c>
    </row>
    <row r="178" spans="158:161">
      <c r="FB178" s="94" t="s">
        <v>668</v>
      </c>
      <c r="FC178" s="94" t="s">
        <v>669</v>
      </c>
      <c r="FD178" s="94" t="s">
        <v>670</v>
      </c>
      <c r="FE178" s="98">
        <v>3833</v>
      </c>
    </row>
    <row r="179" spans="158:161">
      <c r="FB179" s="94" t="s">
        <v>671</v>
      </c>
      <c r="FC179" s="94" t="s">
        <v>672</v>
      </c>
      <c r="FD179" s="94" t="s">
        <v>673</v>
      </c>
      <c r="FE179" s="98">
        <v>6355</v>
      </c>
    </row>
    <row r="180" spans="158:161">
      <c r="FB180" s="94" t="s">
        <v>674</v>
      </c>
      <c r="FC180" s="94" t="s">
        <v>675</v>
      </c>
      <c r="FD180" s="94" t="s">
        <v>676</v>
      </c>
      <c r="FE180" s="98" t="s">
        <v>787</v>
      </c>
    </row>
    <row r="181" spans="158:161">
      <c r="FB181" s="94" t="s">
        <v>677</v>
      </c>
      <c r="FC181" s="94" t="s">
        <v>677</v>
      </c>
      <c r="FD181" s="94" t="s">
        <v>678</v>
      </c>
      <c r="FE181" s="98">
        <v>2925</v>
      </c>
    </row>
    <row r="182" spans="158:161">
      <c r="FB182" s="94" t="s">
        <v>679</v>
      </c>
      <c r="FC182" s="94" t="s">
        <v>680</v>
      </c>
      <c r="FD182" s="94" t="s">
        <v>681</v>
      </c>
      <c r="FE182" s="98">
        <v>2872</v>
      </c>
    </row>
    <row r="183" spans="158:161">
      <c r="FB183" s="94" t="s">
        <v>682</v>
      </c>
      <c r="FC183" s="94" t="s">
        <v>682</v>
      </c>
      <c r="FD183" s="94" t="s">
        <v>683</v>
      </c>
      <c r="FE183" s="98">
        <v>1324</v>
      </c>
    </row>
    <row r="184" spans="158:161">
      <c r="FB184" s="94" t="s">
        <v>684</v>
      </c>
      <c r="FC184" s="94" t="s">
        <v>684</v>
      </c>
      <c r="FD184" s="94" t="s">
        <v>685</v>
      </c>
      <c r="FE184" s="98">
        <v>2816</v>
      </c>
    </row>
    <row r="185" spans="158:161">
      <c r="FB185" s="94" t="s">
        <v>686</v>
      </c>
      <c r="FC185" s="94" t="s">
        <v>686</v>
      </c>
      <c r="FD185" s="94" t="s">
        <v>687</v>
      </c>
      <c r="FE185" s="98">
        <v>2937</v>
      </c>
    </row>
    <row r="186" spans="158:161">
      <c r="FB186" s="94" t="s">
        <v>688</v>
      </c>
      <c r="FC186" s="94" t="s">
        <v>689</v>
      </c>
      <c r="FD186" s="94" t="s">
        <v>690</v>
      </c>
      <c r="FE186" s="98">
        <v>2880</v>
      </c>
    </row>
    <row r="187" spans="158:161">
      <c r="FB187" s="94" t="s">
        <v>691</v>
      </c>
      <c r="FC187" s="94" t="s">
        <v>692</v>
      </c>
      <c r="FD187" s="94" t="s">
        <v>693</v>
      </c>
      <c r="FE187" s="98">
        <v>2948</v>
      </c>
    </row>
    <row r="188" spans="158:161">
      <c r="FB188" s="94" t="s">
        <v>694</v>
      </c>
      <c r="FC188" s="94" t="s">
        <v>695</v>
      </c>
      <c r="FD188" s="94" t="s">
        <v>696</v>
      </c>
      <c r="FE188" s="98">
        <v>2728</v>
      </c>
    </row>
    <row r="189" spans="158:161">
      <c r="FB189" s="94" t="s">
        <v>697</v>
      </c>
      <c r="FC189" s="94" t="s">
        <v>697</v>
      </c>
      <c r="FD189" s="94" t="s">
        <v>698</v>
      </c>
      <c r="FE189" s="98">
        <v>2907</v>
      </c>
    </row>
    <row r="190" spans="158:161">
      <c r="FB190" s="94" t="s">
        <v>699</v>
      </c>
      <c r="FC190" s="94" t="s">
        <v>699</v>
      </c>
      <c r="FD190" s="94" t="s">
        <v>700</v>
      </c>
      <c r="FE190" s="98">
        <v>2900</v>
      </c>
    </row>
    <row r="191" spans="158:161">
      <c r="FB191" s="94" t="s">
        <v>701</v>
      </c>
      <c r="FC191" s="94" t="s">
        <v>701</v>
      </c>
      <c r="FD191" s="94" t="s">
        <v>702</v>
      </c>
      <c r="FE191" s="98">
        <v>2949</v>
      </c>
    </row>
    <row r="192" spans="158:161">
      <c r="FB192" s="94" t="s">
        <v>703</v>
      </c>
      <c r="FC192" s="94" t="s">
        <v>703</v>
      </c>
      <c r="FD192" s="94" t="s">
        <v>704</v>
      </c>
      <c r="FE192" s="98">
        <v>2947</v>
      </c>
    </row>
    <row r="193" spans="158:161">
      <c r="FB193" s="94" t="s">
        <v>705</v>
      </c>
      <c r="FC193" s="94" t="s">
        <v>705</v>
      </c>
      <c r="FD193" s="94" t="s">
        <v>706</v>
      </c>
      <c r="FE193" s="98">
        <v>2892</v>
      </c>
    </row>
    <row r="194" spans="158:161">
      <c r="FB194" s="94" t="s">
        <v>707</v>
      </c>
      <c r="FC194" s="94" t="s">
        <v>708</v>
      </c>
      <c r="FD194" s="94" t="s">
        <v>709</v>
      </c>
      <c r="FE194" s="98">
        <v>2912</v>
      </c>
    </row>
    <row r="195" spans="158:161">
      <c r="FB195" s="94" t="s">
        <v>710</v>
      </c>
      <c r="FC195" s="94" t="s">
        <v>710</v>
      </c>
      <c r="FD195" s="94" t="s">
        <v>711</v>
      </c>
      <c r="FE195" s="98">
        <v>2870</v>
      </c>
    </row>
    <row r="196" spans="158:161">
      <c r="FB196" s="94" t="s">
        <v>712</v>
      </c>
      <c r="FC196" s="94" t="s">
        <v>712</v>
      </c>
      <c r="FD196" s="94" t="s">
        <v>713</v>
      </c>
      <c r="FE196" s="98">
        <v>2905</v>
      </c>
    </row>
    <row r="197" spans="158:161">
      <c r="FB197" s="94" t="s">
        <v>714</v>
      </c>
      <c r="FC197" s="94" t="s">
        <v>714</v>
      </c>
      <c r="FD197" s="94" t="s">
        <v>715</v>
      </c>
      <c r="FE197" s="98">
        <v>2893</v>
      </c>
    </row>
    <row r="198" spans="158:161">
      <c r="FB198" s="94" t="s">
        <v>716</v>
      </c>
      <c r="FC198" s="94" t="s">
        <v>716</v>
      </c>
      <c r="FD198" s="94" t="s">
        <v>717</v>
      </c>
      <c r="FE198" s="98">
        <v>2819</v>
      </c>
    </row>
    <row r="199" spans="158:161">
      <c r="FB199" s="94" t="s">
        <v>718</v>
      </c>
      <c r="FC199" s="94" t="s">
        <v>718</v>
      </c>
      <c r="FD199" s="94" t="s">
        <v>717</v>
      </c>
      <c r="FE199" s="98">
        <v>2896</v>
      </c>
    </row>
    <row r="200" spans="158:161">
      <c r="FB200" s="94" t="s">
        <v>719</v>
      </c>
      <c r="FC200" s="94" t="s">
        <v>719</v>
      </c>
      <c r="FD200" s="94" t="s">
        <v>720</v>
      </c>
      <c r="FE200" s="98">
        <v>2911</v>
      </c>
    </row>
    <row r="201" spans="158:161">
      <c r="FB201" s="94" t="s">
        <v>721</v>
      </c>
      <c r="FC201" s="94" t="s">
        <v>722</v>
      </c>
      <c r="FD201" s="94" t="s">
        <v>723</v>
      </c>
      <c r="FE201" s="98">
        <v>6636</v>
      </c>
    </row>
    <row r="202" spans="158:161">
      <c r="FB202" s="94" t="s">
        <v>724</v>
      </c>
      <c r="FC202" s="94" t="s">
        <v>724</v>
      </c>
      <c r="FD202" s="94" t="s">
        <v>725</v>
      </c>
      <c r="FE202" s="98">
        <v>4893</v>
      </c>
    </row>
    <row r="203" spans="158:161">
      <c r="FB203" s="94" t="s">
        <v>726</v>
      </c>
      <c r="FC203" s="94" t="s">
        <v>726</v>
      </c>
      <c r="FD203" s="94" t="s">
        <v>727</v>
      </c>
      <c r="FE203" s="98">
        <v>4288</v>
      </c>
    </row>
    <row r="204" spans="158:161">
      <c r="FB204" s="94" t="s">
        <v>728</v>
      </c>
      <c r="FC204" s="94" t="s">
        <v>729</v>
      </c>
      <c r="FD204" s="94" t="s">
        <v>730</v>
      </c>
      <c r="FE204" s="98">
        <v>4484</v>
      </c>
    </row>
    <row r="205" spans="158:161">
      <c r="FB205" s="94" t="s">
        <v>731</v>
      </c>
      <c r="FC205" s="94" t="s">
        <v>731</v>
      </c>
      <c r="FD205" s="94" t="s">
        <v>732</v>
      </c>
      <c r="FE205" s="98">
        <v>4493</v>
      </c>
    </row>
    <row r="206" spans="158:161">
      <c r="FB206" s="94" t="s">
        <v>733</v>
      </c>
      <c r="FC206" s="94" t="s">
        <v>734</v>
      </c>
      <c r="FD206" s="94" t="s">
        <v>735</v>
      </c>
      <c r="FE206" s="98">
        <v>4894</v>
      </c>
    </row>
    <row r="207" spans="158:161">
      <c r="FB207" s="94" t="s">
        <v>736</v>
      </c>
      <c r="FC207" s="94" t="s">
        <v>736</v>
      </c>
      <c r="FD207" s="94" t="s">
        <v>737</v>
      </c>
      <c r="FE207" s="98">
        <v>6350</v>
      </c>
    </row>
  </sheetData>
  <sheetProtection selectLockedCells="1"/>
  <mergeCells count="575">
    <mergeCell ref="D1:AM1"/>
    <mergeCell ref="BX9:BZ13"/>
    <mergeCell ref="CA9:CA13"/>
    <mergeCell ref="CB9:CB13"/>
    <mergeCell ref="CC9:CE13"/>
    <mergeCell ref="CD43:DY44"/>
    <mergeCell ref="B32:F34"/>
    <mergeCell ref="BM32:CB32"/>
    <mergeCell ref="CC32:CL32"/>
    <mergeCell ref="CM32:CN32"/>
    <mergeCell ref="CO32:CW32"/>
    <mergeCell ref="CX32:CY32"/>
    <mergeCell ref="CZ32:DX32"/>
    <mergeCell ref="DY32:DZ32"/>
    <mergeCell ref="G32:L34"/>
    <mergeCell ref="M32:BL32"/>
    <mergeCell ref="M33:DZ33"/>
    <mergeCell ref="M34:DZ34"/>
    <mergeCell ref="BO4:BV4"/>
    <mergeCell ref="BG4:BN4"/>
    <mergeCell ref="CN2:CU2"/>
    <mergeCell ref="DA2:DE2"/>
    <mergeCell ref="DF2:DM2"/>
    <mergeCell ref="DN2:DR2"/>
    <mergeCell ref="DS2:DZ2"/>
    <mergeCell ref="G2:X2"/>
    <mergeCell ref="B2:F2"/>
    <mergeCell ref="Y2:AH2"/>
    <mergeCell ref="AI2:AP2"/>
    <mergeCell ref="AQ2:AU2"/>
    <mergeCell ref="AV2:BQ2"/>
    <mergeCell ref="BR2:BV2"/>
    <mergeCell ref="BW2:CH2"/>
    <mergeCell ref="CI2:CM2"/>
    <mergeCell ref="AM4:AO4"/>
    <mergeCell ref="AD4:AF4"/>
    <mergeCell ref="AG4:AI4"/>
    <mergeCell ref="AJ4:AL4"/>
    <mergeCell ref="B3:K3"/>
    <mergeCell ref="AE3:AL3"/>
    <mergeCell ref="BY4:CC4"/>
    <mergeCell ref="CZ5:DB5"/>
    <mergeCell ref="DC5:DG5"/>
    <mergeCell ref="CV5:CY5"/>
    <mergeCell ref="BG5:BK6"/>
    <mergeCell ref="BL5:BN5"/>
    <mergeCell ref="BL6:BN6"/>
    <mergeCell ref="BO5:BV5"/>
    <mergeCell ref="BO6:BV6"/>
    <mergeCell ref="AG5:AI5"/>
    <mergeCell ref="AJ5:AL5"/>
    <mergeCell ref="Q6:R6"/>
    <mergeCell ref="AM5:AO5"/>
    <mergeCell ref="G6:L6"/>
    <mergeCell ref="M6:P6"/>
    <mergeCell ref="S4:V4"/>
    <mergeCell ref="S5:V5"/>
    <mergeCell ref="S6:V6"/>
    <mergeCell ref="CF16:CI16"/>
    <mergeCell ref="CJ16:CP16"/>
    <mergeCell ref="CF13:CI13"/>
    <mergeCell ref="CJ13:CP13"/>
    <mergeCell ref="CF14:CI14"/>
    <mergeCell ref="CJ14:CP14"/>
    <mergeCell ref="CF8:CP8"/>
    <mergeCell ref="CB8:CE8"/>
    <mergeCell ref="BT14:BW14"/>
    <mergeCell ref="BT10:BW10"/>
    <mergeCell ref="BX14:BZ14"/>
    <mergeCell ref="CC14:CE14"/>
    <mergeCell ref="BH8:BJ8"/>
    <mergeCell ref="BH9:BJ9"/>
    <mergeCell ref="BH10:BJ10"/>
    <mergeCell ref="BH11:BJ11"/>
    <mergeCell ref="CF15:CI15"/>
    <mergeCell ref="CJ15:CP15"/>
    <mergeCell ref="BO7:BV7"/>
    <mergeCell ref="BG7:BN7"/>
    <mergeCell ref="CJ12:CP12"/>
    <mergeCell ref="BK13:BS13"/>
    <mergeCell ref="BK14:BS14"/>
    <mergeCell ref="BT11:BW11"/>
    <mergeCell ref="BK12:BS12"/>
    <mergeCell ref="BT12:BW12"/>
    <mergeCell ref="BT13:BW13"/>
    <mergeCell ref="CF11:CI11"/>
    <mergeCell ref="CJ11:CP11"/>
    <mergeCell ref="CF12:CI12"/>
    <mergeCell ref="AS8:AX8"/>
    <mergeCell ref="AS9:AX9"/>
    <mergeCell ref="AS10:AX10"/>
    <mergeCell ref="AS11:AX11"/>
    <mergeCell ref="AS13:AX13"/>
    <mergeCell ref="AS14:AX14"/>
    <mergeCell ref="AS15:AX15"/>
    <mergeCell ref="AS16:AX16"/>
    <mergeCell ref="AY8:BG8"/>
    <mergeCell ref="AY9:BG9"/>
    <mergeCell ref="AY10:BG10"/>
    <mergeCell ref="AY11:BG11"/>
    <mergeCell ref="AY12:BG12"/>
    <mergeCell ref="AY13:BG13"/>
    <mergeCell ref="AY14:BG14"/>
    <mergeCell ref="AY15:BG15"/>
    <mergeCell ref="DN7:DR7"/>
    <mergeCell ref="DS4:DZ4"/>
    <mergeCell ref="DS5:DZ5"/>
    <mergeCell ref="DS6:DZ6"/>
    <mergeCell ref="DS7:DZ7"/>
    <mergeCell ref="DG11:DK11"/>
    <mergeCell ref="DL11:DP11"/>
    <mergeCell ref="DQ11:DU11"/>
    <mergeCell ref="DV11:DZ11"/>
    <mergeCell ref="DQ8:DU8"/>
    <mergeCell ref="DN4:DR4"/>
    <mergeCell ref="DN5:DR5"/>
    <mergeCell ref="DN6:DR6"/>
    <mergeCell ref="B35:F41"/>
    <mergeCell ref="G35:L41"/>
    <mergeCell ref="BU41:BV41"/>
    <mergeCell ref="BW41:CD41"/>
    <mergeCell ref="CE41:CH41"/>
    <mergeCell ref="CI41:CJ41"/>
    <mergeCell ref="AU41:BB41"/>
    <mergeCell ref="BC41:BF41"/>
    <mergeCell ref="BG41:BH41"/>
    <mergeCell ref="AU40:BB40"/>
    <mergeCell ref="M41:P41"/>
    <mergeCell ref="Q41:R41"/>
    <mergeCell ref="S41:Z41"/>
    <mergeCell ref="AA41:AD41"/>
    <mergeCell ref="AE41:AF41"/>
    <mergeCell ref="AG41:AN41"/>
    <mergeCell ref="AO41:AR41"/>
    <mergeCell ref="M40:P40"/>
    <mergeCell ref="Q40:R40"/>
    <mergeCell ref="S40:Z40"/>
    <mergeCell ref="AA40:AD40"/>
    <mergeCell ref="AE40:AF40"/>
    <mergeCell ref="AE39:AF39"/>
    <mergeCell ref="S39:Z39"/>
    <mergeCell ref="CK41:CR41"/>
    <mergeCell ref="AS41:AT41"/>
    <mergeCell ref="BI41:BP41"/>
    <mergeCell ref="CI40:CJ40"/>
    <mergeCell ref="BW38:CD38"/>
    <mergeCell ref="AG39:AN39"/>
    <mergeCell ref="BI40:BP40"/>
    <mergeCell ref="BI39:BP39"/>
    <mergeCell ref="CE38:CH38"/>
    <mergeCell ref="CI38:CJ38"/>
    <mergeCell ref="CK40:CR40"/>
    <mergeCell ref="BC39:BF39"/>
    <mergeCell ref="BG39:BH39"/>
    <mergeCell ref="AG40:AN40"/>
    <mergeCell ref="BC40:BF40"/>
    <mergeCell ref="BG40:BH40"/>
    <mergeCell ref="BW40:CD40"/>
    <mergeCell ref="BQ41:BT41"/>
    <mergeCell ref="AO40:AR40"/>
    <mergeCell ref="AS40:AT40"/>
    <mergeCell ref="CI39:CJ39"/>
    <mergeCell ref="CK39:CR39"/>
    <mergeCell ref="CE40:CH40"/>
    <mergeCell ref="BQ40:BT40"/>
    <mergeCell ref="CK37:CR37"/>
    <mergeCell ref="CK38:CR38"/>
    <mergeCell ref="BW37:CD37"/>
    <mergeCell ref="CE37:CH37"/>
    <mergeCell ref="CI37:CJ37"/>
    <mergeCell ref="AE38:AF38"/>
    <mergeCell ref="AG38:AN38"/>
    <mergeCell ref="AO38:AR38"/>
    <mergeCell ref="AS38:AT38"/>
    <mergeCell ref="BI38:BP38"/>
    <mergeCell ref="BQ38:BT38"/>
    <mergeCell ref="AO37:AR37"/>
    <mergeCell ref="AS37:AT37"/>
    <mergeCell ref="BU40:BV40"/>
    <mergeCell ref="BC38:BF38"/>
    <mergeCell ref="BG38:BH38"/>
    <mergeCell ref="BC36:BF36"/>
    <mergeCell ref="BG36:BH36"/>
    <mergeCell ref="BQ36:BT36"/>
    <mergeCell ref="BI37:BP37"/>
    <mergeCell ref="BC37:BF37"/>
    <mergeCell ref="BW35:CD35"/>
    <mergeCell ref="CE35:CH35"/>
    <mergeCell ref="CI35:CJ35"/>
    <mergeCell ref="BU36:BV36"/>
    <mergeCell ref="BW36:CD36"/>
    <mergeCell ref="BU37:BV37"/>
    <mergeCell ref="CE39:CH39"/>
    <mergeCell ref="BQ39:BT39"/>
    <mergeCell ref="AO36:AR36"/>
    <mergeCell ref="AO39:AR39"/>
    <mergeCell ref="AS39:AT39"/>
    <mergeCell ref="AU39:BB39"/>
    <mergeCell ref="Q38:R38"/>
    <mergeCell ref="AA39:AD39"/>
    <mergeCell ref="CT37:DZ37"/>
    <mergeCell ref="CT38:DZ38"/>
    <mergeCell ref="S36:Z36"/>
    <mergeCell ref="S37:Z37"/>
    <mergeCell ref="S38:Z38"/>
    <mergeCell ref="AS36:AT36"/>
    <mergeCell ref="AU36:BB36"/>
    <mergeCell ref="AA36:AD36"/>
    <mergeCell ref="AE36:AF36"/>
    <mergeCell ref="AG37:AN37"/>
    <mergeCell ref="AA38:AD38"/>
    <mergeCell ref="BI36:BP36"/>
    <mergeCell ref="AU37:BB37"/>
    <mergeCell ref="AU38:BB38"/>
    <mergeCell ref="BG37:BH37"/>
    <mergeCell ref="BU39:BV39"/>
    <mergeCell ref="BW39:CD39"/>
    <mergeCell ref="BQ37:BT37"/>
    <mergeCell ref="BU38:BV38"/>
    <mergeCell ref="CE36:CH36"/>
    <mergeCell ref="CI36:CJ36"/>
    <mergeCell ref="CK36:CR36"/>
    <mergeCell ref="CT35:DZ35"/>
    <mergeCell ref="CT36:DZ36"/>
    <mergeCell ref="M36:P36"/>
    <mergeCell ref="Q36:R36"/>
    <mergeCell ref="M37:P37"/>
    <mergeCell ref="Q37:R37"/>
    <mergeCell ref="BQ35:BT35"/>
    <mergeCell ref="BC35:BF35"/>
    <mergeCell ref="AE35:AF35"/>
    <mergeCell ref="AG35:AN35"/>
    <mergeCell ref="AO35:AR35"/>
    <mergeCell ref="M35:P35"/>
    <mergeCell ref="Q35:R35"/>
    <mergeCell ref="S35:Z35"/>
    <mergeCell ref="AA35:AD35"/>
    <mergeCell ref="AS35:AT35"/>
    <mergeCell ref="AU35:BB35"/>
    <mergeCell ref="AA37:AD37"/>
    <mergeCell ref="AE37:AF37"/>
    <mergeCell ref="BG35:BH35"/>
    <mergeCell ref="AG36:AN36"/>
    <mergeCell ref="BI35:BP35"/>
    <mergeCell ref="CK35:CR35"/>
    <mergeCell ref="BU35:BV35"/>
    <mergeCell ref="M39:P39"/>
    <mergeCell ref="Q39:R39"/>
    <mergeCell ref="M38:P38"/>
    <mergeCell ref="AS12:AX12"/>
    <mergeCell ref="Z12:AF12"/>
    <mergeCell ref="AH12:AJ12"/>
    <mergeCell ref="AK12:AN12"/>
    <mergeCell ref="AG8:AJ8"/>
    <mergeCell ref="O16:Q16"/>
    <mergeCell ref="O17:Q17"/>
    <mergeCell ref="O15:Q15"/>
    <mergeCell ref="O11:Q11"/>
    <mergeCell ref="O12:Q12"/>
    <mergeCell ref="AH16:AJ16"/>
    <mergeCell ref="AH17:AJ17"/>
    <mergeCell ref="AH18:AJ18"/>
    <mergeCell ref="AK15:AN15"/>
    <mergeCell ref="AK18:AN18"/>
    <mergeCell ref="AH15:AJ15"/>
    <mergeCell ref="AK16:AN16"/>
    <mergeCell ref="K10:N10"/>
    <mergeCell ref="W10:X10"/>
    <mergeCell ref="Z10:AF10"/>
    <mergeCell ref="AK8:AR8"/>
    <mergeCell ref="L3:T3"/>
    <mergeCell ref="U3:AD3"/>
    <mergeCell ref="M5:P5"/>
    <mergeCell ref="Q4:R4"/>
    <mergeCell ref="G5:L5"/>
    <mergeCell ref="M4:P4"/>
    <mergeCell ref="Q5:R5"/>
    <mergeCell ref="X5:AC5"/>
    <mergeCell ref="AD5:AF5"/>
    <mergeCell ref="B8:F18"/>
    <mergeCell ref="K18:N18"/>
    <mergeCell ref="G13:J13"/>
    <mergeCell ref="G14:J14"/>
    <mergeCell ref="G15:J15"/>
    <mergeCell ref="G16:J16"/>
    <mergeCell ref="G17:J17"/>
    <mergeCell ref="G18:J18"/>
    <mergeCell ref="K11:N11"/>
    <mergeCell ref="G12:J12"/>
    <mergeCell ref="K17:N17"/>
    <mergeCell ref="G11:J11"/>
    <mergeCell ref="K15:N15"/>
    <mergeCell ref="K16:N16"/>
    <mergeCell ref="K12:N12"/>
    <mergeCell ref="K13:N13"/>
    <mergeCell ref="K14:N14"/>
    <mergeCell ref="G10:J10"/>
    <mergeCell ref="CQ8:CV8"/>
    <mergeCell ref="DV8:DZ8"/>
    <mergeCell ref="G9:J9"/>
    <mergeCell ref="O9:Q9"/>
    <mergeCell ref="W9:X9"/>
    <mergeCell ref="AH9:AJ9"/>
    <mergeCell ref="AO9:AR9"/>
    <mergeCell ref="BK9:BS9"/>
    <mergeCell ref="CW8:DF8"/>
    <mergeCell ref="DG8:DK8"/>
    <mergeCell ref="BT9:BW9"/>
    <mergeCell ref="DA9:DF9"/>
    <mergeCell ref="DG9:DK9"/>
    <mergeCell ref="BK8:BS8"/>
    <mergeCell ref="BT8:BW8"/>
    <mergeCell ref="G8:J8"/>
    <mergeCell ref="K8:N8"/>
    <mergeCell ref="O8:R8"/>
    <mergeCell ref="S8:Y8"/>
    <mergeCell ref="Z8:AF8"/>
    <mergeCell ref="K9:N9"/>
    <mergeCell ref="S9:T9"/>
    <mergeCell ref="DL8:DP8"/>
    <mergeCell ref="BX8:CA8"/>
    <mergeCell ref="Z11:AF11"/>
    <mergeCell ref="AH11:AJ11"/>
    <mergeCell ref="AK11:AN11"/>
    <mergeCell ref="Z9:AF9"/>
    <mergeCell ref="AK9:AN9"/>
    <mergeCell ref="AK10:AN10"/>
    <mergeCell ref="AH10:AJ10"/>
    <mergeCell ref="AH13:AJ13"/>
    <mergeCell ref="AH14:AJ14"/>
    <mergeCell ref="Z13:AF13"/>
    <mergeCell ref="Z14:AF14"/>
    <mergeCell ref="Z15:AF15"/>
    <mergeCell ref="Z16:AF16"/>
    <mergeCell ref="Z17:AF17"/>
    <mergeCell ref="Z18:AF18"/>
    <mergeCell ref="W15:X15"/>
    <mergeCell ref="BK10:BS10"/>
    <mergeCell ref="W13:X13"/>
    <mergeCell ref="BH17:BJ17"/>
    <mergeCell ref="BH18:BJ18"/>
    <mergeCell ref="BH12:BJ12"/>
    <mergeCell ref="BH13:BJ13"/>
    <mergeCell ref="BH14:BJ14"/>
    <mergeCell ref="BH15:BJ15"/>
    <mergeCell ref="AK17:AN17"/>
    <mergeCell ref="AO17:AR17"/>
    <mergeCell ref="AO10:AR10"/>
    <mergeCell ref="AK13:AN13"/>
    <mergeCell ref="AO13:AR13"/>
    <mergeCell ref="AK14:AN14"/>
    <mergeCell ref="AO14:AR14"/>
    <mergeCell ref="AO11:AR11"/>
    <mergeCell ref="AO12:AR12"/>
    <mergeCell ref="BK11:BS11"/>
    <mergeCell ref="W14:X14"/>
    <mergeCell ref="S16:T16"/>
    <mergeCell ref="W16:X16"/>
    <mergeCell ref="S17:T17"/>
    <mergeCell ref="W17:X17"/>
    <mergeCell ref="S15:T15"/>
    <mergeCell ref="S18:T18"/>
    <mergeCell ref="O10:Q10"/>
    <mergeCell ref="O13:Q13"/>
    <mergeCell ref="O14:Q14"/>
    <mergeCell ref="S13:T13"/>
    <mergeCell ref="S11:T11"/>
    <mergeCell ref="S14:T14"/>
    <mergeCell ref="S12:T12"/>
    <mergeCell ref="O18:Q18"/>
    <mergeCell ref="W18:X18"/>
    <mergeCell ref="S10:T10"/>
    <mergeCell ref="W12:X12"/>
    <mergeCell ref="W11:X11"/>
    <mergeCell ref="BK18:BS18"/>
    <mergeCell ref="BT15:BW15"/>
    <mergeCell ref="BT16:BW16"/>
    <mergeCell ref="BT17:BW17"/>
    <mergeCell ref="AO18:AR18"/>
    <mergeCell ref="AO15:AR15"/>
    <mergeCell ref="BK15:BS15"/>
    <mergeCell ref="BK16:BS16"/>
    <mergeCell ref="BK17:BS17"/>
    <mergeCell ref="AS17:AX17"/>
    <mergeCell ref="AS18:AX18"/>
    <mergeCell ref="AY16:BG16"/>
    <mergeCell ref="AY17:BG17"/>
    <mergeCell ref="AY18:BG18"/>
    <mergeCell ref="AO16:AR16"/>
    <mergeCell ref="BH16:BJ16"/>
    <mergeCell ref="CQ9:CS9"/>
    <mergeCell ref="CT9:CV9"/>
    <mergeCell ref="CW9:CZ9"/>
    <mergeCell ref="CQ10:CS10"/>
    <mergeCell ref="CT10:CV10"/>
    <mergeCell ref="CW10:CZ10"/>
    <mergeCell ref="CQ12:CS12"/>
    <mergeCell ref="CF9:CI9"/>
    <mergeCell ref="BT18:BW18"/>
    <mergeCell ref="CF17:CI17"/>
    <mergeCell ref="CJ17:CP17"/>
    <mergeCell ref="BX15:BZ15"/>
    <mergeCell ref="BX16:BZ16"/>
    <mergeCell ref="BX17:BZ17"/>
    <mergeCell ref="BX18:BZ18"/>
    <mergeCell ref="CC15:CE15"/>
    <mergeCell ref="CC16:CE16"/>
    <mergeCell ref="CC17:CE17"/>
    <mergeCell ref="CC18:CE18"/>
    <mergeCell ref="CF18:CI18"/>
    <mergeCell ref="CJ18:CP18"/>
    <mergeCell ref="CJ9:CP9"/>
    <mergeCell ref="CF10:CI10"/>
    <mergeCell ref="CJ10:CP10"/>
    <mergeCell ref="DA12:DF12"/>
    <mergeCell ref="CQ11:CS11"/>
    <mergeCell ref="DA14:DF14"/>
    <mergeCell ref="CQ14:CS14"/>
    <mergeCell ref="CT14:CV14"/>
    <mergeCell ref="CW14:CZ14"/>
    <mergeCell ref="DA10:DF10"/>
    <mergeCell ref="CQ13:CS13"/>
    <mergeCell ref="CT13:CV13"/>
    <mergeCell ref="CW13:CZ13"/>
    <mergeCell ref="DA13:DF13"/>
    <mergeCell ref="DA11:DF11"/>
    <mergeCell ref="CT12:CV12"/>
    <mergeCell ref="CT11:CV11"/>
    <mergeCell ref="CW11:CZ11"/>
    <mergeCell ref="CW12:CZ12"/>
    <mergeCell ref="CT17:CV17"/>
    <mergeCell ref="CW17:CZ17"/>
    <mergeCell ref="DA17:DF17"/>
    <mergeCell ref="CQ16:CS16"/>
    <mergeCell ref="CT16:CV16"/>
    <mergeCell ref="CW16:CZ16"/>
    <mergeCell ref="DA16:DF16"/>
    <mergeCell ref="CQ17:CS17"/>
    <mergeCell ref="CQ15:CS15"/>
    <mergeCell ref="CT15:CV15"/>
    <mergeCell ref="CW15:CZ15"/>
    <mergeCell ref="DA15:DF15"/>
    <mergeCell ref="DQ14:DU14"/>
    <mergeCell ref="DV14:DZ14"/>
    <mergeCell ref="DG13:DK13"/>
    <mergeCell ref="DL13:DP13"/>
    <mergeCell ref="DQ13:DU13"/>
    <mergeCell ref="DV13:DZ13"/>
    <mergeCell ref="DL9:DP9"/>
    <mergeCell ref="DQ9:DU9"/>
    <mergeCell ref="DV9:DZ9"/>
    <mergeCell ref="DG10:DK10"/>
    <mergeCell ref="DL10:DP10"/>
    <mergeCell ref="DQ10:DU10"/>
    <mergeCell ref="DV10:DZ10"/>
    <mergeCell ref="DL12:DP12"/>
    <mergeCell ref="DQ12:DU12"/>
    <mergeCell ref="DV12:DZ12"/>
    <mergeCell ref="DG12:DK12"/>
    <mergeCell ref="B19:F24"/>
    <mergeCell ref="G19:J19"/>
    <mergeCell ref="BL19:DZ19"/>
    <mergeCell ref="G20:J20"/>
    <mergeCell ref="K20:AO20"/>
    <mergeCell ref="AP20:BF20"/>
    <mergeCell ref="BG20:BK20"/>
    <mergeCell ref="BL20:DZ20"/>
    <mergeCell ref="G21:J21"/>
    <mergeCell ref="K19:AO19"/>
    <mergeCell ref="G24:J24"/>
    <mergeCell ref="K24:AO24"/>
    <mergeCell ref="AP24:BF24"/>
    <mergeCell ref="BL21:DZ21"/>
    <mergeCell ref="AQ29:DZ29"/>
    <mergeCell ref="AC28:AI28"/>
    <mergeCell ref="BG24:BK24"/>
    <mergeCell ref="G22:J22"/>
    <mergeCell ref="K22:AO22"/>
    <mergeCell ref="AP22:BF22"/>
    <mergeCell ref="BG22:BK22"/>
    <mergeCell ref="G23:J23"/>
    <mergeCell ref="K23:AO23"/>
    <mergeCell ref="AP23:BF23"/>
    <mergeCell ref="BG23:BK23"/>
    <mergeCell ref="AJ28:AP28"/>
    <mergeCell ref="G25:W25"/>
    <mergeCell ref="X25:AB25"/>
    <mergeCell ref="AC25:AI25"/>
    <mergeCell ref="G27:W27"/>
    <mergeCell ref="X27:AB27"/>
    <mergeCell ref="AC27:AI27"/>
    <mergeCell ref="G29:W29"/>
    <mergeCell ref="X29:AB29"/>
    <mergeCell ref="BL23:DZ23"/>
    <mergeCell ref="G31:W31"/>
    <mergeCell ref="G26:W26"/>
    <mergeCell ref="X26:AB26"/>
    <mergeCell ref="AC26:AI26"/>
    <mergeCell ref="AJ26:AP26"/>
    <mergeCell ref="B25:F31"/>
    <mergeCell ref="AJ31:AP31"/>
    <mergeCell ref="X31:AB31"/>
    <mergeCell ref="AC31:AI31"/>
    <mergeCell ref="AQ30:DZ30"/>
    <mergeCell ref="AC29:AI29"/>
    <mergeCell ref="AJ29:AP29"/>
    <mergeCell ref="G30:W30"/>
    <mergeCell ref="X30:AB30"/>
    <mergeCell ref="AC30:AI30"/>
    <mergeCell ref="AJ30:AP30"/>
    <mergeCell ref="B4:F7"/>
    <mergeCell ref="X6:AC6"/>
    <mergeCell ref="AD6:AF6"/>
    <mergeCell ref="AG6:AI6"/>
    <mergeCell ref="AJ6:AL6"/>
    <mergeCell ref="AM6:AO6"/>
    <mergeCell ref="CD4:CI4"/>
    <mergeCell ref="AQ5:AU5"/>
    <mergeCell ref="AV5:AX5"/>
    <mergeCell ref="AY5:BD5"/>
    <mergeCell ref="AQ6:AU6"/>
    <mergeCell ref="AV6:AX6"/>
    <mergeCell ref="AY6:BD6"/>
    <mergeCell ref="AQ25:DZ25"/>
    <mergeCell ref="AQ26:DZ26"/>
    <mergeCell ref="AP21:BF21"/>
    <mergeCell ref="BG21:BK21"/>
    <mergeCell ref="DL17:DP17"/>
    <mergeCell ref="DQ17:DU17"/>
    <mergeCell ref="DV17:DZ17"/>
    <mergeCell ref="DG18:DK18"/>
    <mergeCell ref="DL16:DP16"/>
    <mergeCell ref="DQ16:DU16"/>
    <mergeCell ref="BB1:BX1"/>
    <mergeCell ref="BY5:CC5"/>
    <mergeCell ref="BY6:CC6"/>
    <mergeCell ref="BY7:CC7"/>
    <mergeCell ref="CQ18:CS18"/>
    <mergeCell ref="CT18:CV18"/>
    <mergeCell ref="CW18:CZ18"/>
    <mergeCell ref="DA18:DF18"/>
    <mergeCell ref="DL18:DP18"/>
    <mergeCell ref="DQ18:DU18"/>
    <mergeCell ref="DV16:DZ16"/>
    <mergeCell ref="DG15:DK15"/>
    <mergeCell ref="DL15:DP15"/>
    <mergeCell ref="DQ15:DU15"/>
    <mergeCell ref="DV15:DZ15"/>
    <mergeCell ref="DG16:DK16"/>
    <mergeCell ref="DG14:DK14"/>
    <mergeCell ref="DL14:DP14"/>
    <mergeCell ref="CT39:DZ39"/>
    <mergeCell ref="CT40:DZ40"/>
    <mergeCell ref="CT41:DZ41"/>
    <mergeCell ref="CJ4:CL4"/>
    <mergeCell ref="CJ5:CL5"/>
    <mergeCell ref="CJ6:CL6"/>
    <mergeCell ref="CJ7:CL7"/>
    <mergeCell ref="AQ31:DZ31"/>
    <mergeCell ref="AQ28:DZ28"/>
    <mergeCell ref="BL24:DZ24"/>
    <mergeCell ref="BG19:BK19"/>
    <mergeCell ref="AP19:BF19"/>
    <mergeCell ref="BL22:DZ22"/>
    <mergeCell ref="AJ27:AP27"/>
    <mergeCell ref="AJ25:AP25"/>
    <mergeCell ref="K21:AO21"/>
    <mergeCell ref="G28:W28"/>
    <mergeCell ref="X28:AB28"/>
    <mergeCell ref="CD5:CI5"/>
    <mergeCell ref="CD6:CI6"/>
    <mergeCell ref="CD7:CI7"/>
    <mergeCell ref="AQ27:DZ27"/>
    <mergeCell ref="DV18:DZ18"/>
    <mergeCell ref="DG17:DK17"/>
  </mergeCells>
  <phoneticPr fontId="2"/>
  <conditionalFormatting sqref="M37:Q41 S36:Z41">
    <cfRule type="expression" dxfId="71" priority="35" stopIfTrue="1">
      <formula>OR($Q36=1,$Q36=7)</formula>
    </cfRule>
  </conditionalFormatting>
  <conditionalFormatting sqref="AA35:AE41 AG35:AS41 AU35:BG41 BI35:BU41 BW35:CI41 CK35:CR41">
    <cfRule type="expression" dxfId="70" priority="36" stopIfTrue="1">
      <formula>OR($AE35=1,$AE35=7)</formula>
    </cfRule>
  </conditionalFormatting>
  <conditionalFormatting sqref="M35:Z35">
    <cfRule type="expression" dxfId="69" priority="37" stopIfTrue="1">
      <formula>OR($Q35=1,$Q35=7)</formula>
    </cfRule>
  </conditionalFormatting>
  <conditionalFormatting sqref="M36:R36">
    <cfRule type="expression" dxfId="68" priority="38" stopIfTrue="1">
      <formula>OR($Q36=1,$Q36=7)</formula>
    </cfRule>
  </conditionalFormatting>
  <conditionalFormatting sqref="M5:P5">
    <cfRule type="expression" dxfId="67" priority="44" stopIfTrue="1">
      <formula>$M$5=""</formula>
    </cfRule>
  </conditionalFormatting>
  <conditionalFormatting sqref="M6:P6">
    <cfRule type="expression" dxfId="66" priority="45" stopIfTrue="1">
      <formula>$M$6=""</formula>
    </cfRule>
  </conditionalFormatting>
  <conditionalFormatting sqref="S5:V5">
    <cfRule type="expression" dxfId="65" priority="46" stopIfTrue="1">
      <formula>$S$5=""</formula>
    </cfRule>
  </conditionalFormatting>
  <conditionalFormatting sqref="S6:V6">
    <cfRule type="expression" dxfId="64" priority="47" stopIfTrue="1">
      <formula>$S$6=""</formula>
    </cfRule>
  </conditionalFormatting>
  <conditionalFormatting sqref="AD6:AF6">
    <cfRule type="expression" dxfId="63" priority="48" stopIfTrue="1">
      <formula>$AD$6=""</formula>
    </cfRule>
  </conditionalFormatting>
  <conditionalFormatting sqref="AG6:AI6">
    <cfRule type="expression" dxfId="62" priority="49" stopIfTrue="1">
      <formula>$AG$6=""</formula>
    </cfRule>
  </conditionalFormatting>
  <conditionalFormatting sqref="AJ6:AL6">
    <cfRule type="expression" dxfId="61" priority="50" stopIfTrue="1">
      <formula>$AJ$6=""</formula>
    </cfRule>
  </conditionalFormatting>
  <conditionalFormatting sqref="AM6:AO6">
    <cfRule type="expression" dxfId="60" priority="51" stopIfTrue="1">
      <formula>$AM$6=""</formula>
    </cfRule>
  </conditionalFormatting>
  <conditionalFormatting sqref="AV5:AX5">
    <cfRule type="expression" dxfId="59" priority="52" stopIfTrue="1">
      <formula>$AV$5=""</formula>
    </cfRule>
  </conditionalFormatting>
  <conditionalFormatting sqref="AV6:AX6">
    <cfRule type="expression" dxfId="58" priority="53" stopIfTrue="1">
      <formula>$AV$6=""</formula>
    </cfRule>
  </conditionalFormatting>
  <conditionalFormatting sqref="AY5:BD5">
    <cfRule type="expression" dxfId="57" priority="54" stopIfTrue="1">
      <formula>$AY$5=""</formula>
    </cfRule>
  </conditionalFormatting>
  <conditionalFormatting sqref="CD4:CI4">
    <cfRule type="expression" dxfId="56" priority="55" stopIfTrue="1">
      <formula>$CD$4=""</formula>
    </cfRule>
  </conditionalFormatting>
  <conditionalFormatting sqref="CJ4:CL7">
    <cfRule type="expression" dxfId="55" priority="56" stopIfTrue="1">
      <formula>$CJ$4=""</formula>
    </cfRule>
  </conditionalFormatting>
  <conditionalFormatting sqref="CD5:CI5">
    <cfRule type="expression" dxfId="54" priority="57" stopIfTrue="1">
      <formula>$CD$5=""</formula>
    </cfRule>
  </conditionalFormatting>
  <conditionalFormatting sqref="CJ5:CL5">
    <cfRule type="expression" dxfId="53" priority="58" stopIfTrue="1">
      <formula>$CJ$5=""</formula>
    </cfRule>
  </conditionalFormatting>
  <conditionalFormatting sqref="CD6:CI6">
    <cfRule type="expression" dxfId="52" priority="59" stopIfTrue="1">
      <formula>$CD$6=""</formula>
    </cfRule>
  </conditionalFormatting>
  <conditionalFormatting sqref="CJ6:CL6">
    <cfRule type="expression" dxfId="51" priority="60" stopIfTrue="1">
      <formula>$CJ$6=""</formula>
    </cfRule>
  </conditionalFormatting>
  <conditionalFormatting sqref="CD7:CI7">
    <cfRule type="expression" dxfId="50" priority="61" stopIfTrue="1">
      <formula>$CD$7=""</formula>
    </cfRule>
  </conditionalFormatting>
  <conditionalFormatting sqref="CJ7:CL7">
    <cfRule type="expression" dxfId="49" priority="62" stopIfTrue="1">
      <formula>$CJ$7=""</formula>
    </cfRule>
  </conditionalFormatting>
  <conditionalFormatting sqref="BO5:BV5">
    <cfRule type="expression" dxfId="48" priority="64" stopIfTrue="1">
      <formula>$BO$5=""</formula>
    </cfRule>
  </conditionalFormatting>
  <conditionalFormatting sqref="CZ5:DB5">
    <cfRule type="expression" dxfId="47" priority="66" stopIfTrue="1">
      <formula>$CZ$5=""</formula>
    </cfRule>
  </conditionalFormatting>
  <conditionalFormatting sqref="CM32:CN32">
    <cfRule type="expression" dxfId="46" priority="22" stopIfTrue="1">
      <formula>$CM$32=""</formula>
    </cfRule>
  </conditionalFormatting>
  <conditionalFormatting sqref="CX32:CY32">
    <cfRule type="expression" dxfId="45" priority="20" stopIfTrue="1">
      <formula>$CX$32=""</formula>
    </cfRule>
  </conditionalFormatting>
  <conditionalFormatting sqref="DY32:DZ32">
    <cfRule type="expression" dxfId="44" priority="19" stopIfTrue="1">
      <formula>$DY$32=""</formula>
    </cfRule>
  </conditionalFormatting>
  <conditionalFormatting sqref="BO4:BV4">
    <cfRule type="expression" dxfId="43" priority="13">
      <formula>$BO$4=""</formula>
    </cfRule>
  </conditionalFormatting>
  <conditionalFormatting sqref="BO6:BV6">
    <cfRule type="expression" dxfId="42" priority="12" stopIfTrue="1">
      <formula>$BO$6=""</formula>
    </cfRule>
  </conditionalFormatting>
  <conditionalFormatting sqref="BO7:BV7">
    <cfRule type="expression" dxfId="41" priority="11" stopIfTrue="1">
      <formula>$BO$7=""</formula>
    </cfRule>
  </conditionalFormatting>
  <conditionalFormatting sqref="AI2:AP2">
    <cfRule type="expression" dxfId="40" priority="10" stopIfTrue="1">
      <formula>$AI$2=""</formula>
    </cfRule>
  </conditionalFormatting>
  <conditionalFormatting sqref="AE3:AL3">
    <cfRule type="expression" dxfId="39" priority="8" stopIfTrue="1">
      <formula>$AE$3=""</formula>
    </cfRule>
    <cfRule type="cellIs" dxfId="38" priority="9" stopIfTrue="1" operator="notBetween">
      <formula>1000000</formula>
      <formula>1900000</formula>
    </cfRule>
  </conditionalFormatting>
  <conditionalFormatting sqref="G2:X2">
    <cfRule type="expression" dxfId="37" priority="7" stopIfTrue="1">
      <formula>$G$2=""</formula>
    </cfRule>
  </conditionalFormatting>
  <conditionalFormatting sqref="L3:T3">
    <cfRule type="expression" dxfId="36" priority="6" stopIfTrue="1">
      <formula>$L$3=""</formula>
    </cfRule>
  </conditionalFormatting>
  <conditionalFormatting sqref="AV2:BQ2">
    <cfRule type="expression" dxfId="35" priority="5">
      <formula>$AV$2=""</formula>
    </cfRule>
  </conditionalFormatting>
  <conditionalFormatting sqref="BW2:CH2">
    <cfRule type="expression" dxfId="34" priority="4" stopIfTrue="1">
      <formula>$BW$2=""</formula>
    </cfRule>
  </conditionalFormatting>
  <conditionalFormatting sqref="CN2:CU2">
    <cfRule type="expression" dxfId="33" priority="3" stopIfTrue="1">
      <formula>$CN$2=""</formula>
    </cfRule>
  </conditionalFormatting>
  <conditionalFormatting sqref="DF2:DM2">
    <cfRule type="expression" dxfId="32" priority="2" stopIfTrue="1">
      <formula>$DF$2=""</formula>
    </cfRule>
  </conditionalFormatting>
  <conditionalFormatting sqref="DS2:DZ2">
    <cfRule type="expression" dxfId="31" priority="1" stopIfTrue="1">
      <formula>$DS$2=""</formula>
    </cfRule>
  </conditionalFormatting>
  <dataValidations count="25">
    <dataValidation type="custom" allowBlank="1" showInputMessage="1" showErrorMessage="1" sqref="EU4">
      <formula1>IX3</formula1>
    </dataValidation>
    <dataValidation type="custom" allowBlank="1" showInputMessage="1" showErrorMessage="1" sqref="EU3">
      <formula1>IX1</formula1>
    </dataValidation>
    <dataValidation type="list" allowBlank="1" showInputMessage="1" showErrorMessage="1" sqref="CZ5:DB5">
      <formula1>"1,2,3,4,5,6,7,8,9,10,11,12"</formula1>
    </dataValidation>
    <dataValidation type="list" allowBlank="1" showInputMessage="1" showErrorMessage="1" sqref="CJ4:CL7">
      <formula1>"決,未"</formula1>
    </dataValidation>
    <dataValidation type="list" showInputMessage="1" sqref="DY32:DZ32 CX3 CM32:CN32 CM3 CX32:CY32 DZ3">
      <formula1>"✔"</formula1>
    </dataValidation>
    <dataValidation type="list" allowBlank="1" showInputMessage="1" showErrorMessage="1" sqref="CF9:CI18 BG20:BK24 X26:AB31">
      <formula1>$EU$33:$EU$34</formula1>
    </dataValidation>
    <dataValidation type="list" allowBlank="1" showInputMessage="1" showErrorMessage="1" sqref="G32:L33">
      <formula1>$EU$35</formula1>
    </dataValidation>
    <dataValidation type="list" allowBlank="1" showInputMessage="1" showErrorMessage="1" sqref="G35:L41">
      <formula1>$EU$36</formula1>
    </dataValidation>
    <dataValidation type="list" allowBlank="1" showInputMessage="1" showErrorMessage="1" sqref="BO4:BV4">
      <formula1>$EU$12:$EU$15</formula1>
    </dataValidation>
    <dataValidation type="list" allowBlank="1" showInputMessage="1" showErrorMessage="1" sqref="AK9:AN18">
      <formula1>$EU$29:$EU$30</formula1>
    </dataValidation>
    <dataValidation type="list" allowBlank="1" showInputMessage="1" showErrorMessage="1" sqref="AO9:AR18">
      <formula1>$EU$31:$EU$32</formula1>
    </dataValidation>
    <dataValidation showInputMessage="1" showErrorMessage="1" sqref="BY1:DZ1"/>
    <dataValidation type="list" allowBlank="1" showInputMessage="1" showErrorMessage="1" sqref="BH9:BJ18">
      <formula1>$EW$11</formula1>
    </dataValidation>
    <dataValidation type="list" allowBlank="1" showInputMessage="1" showErrorMessage="1" sqref="AV5:AX5">
      <formula1>$EU$5:$EU$6</formula1>
    </dataValidation>
    <dataValidation type="list" allowBlank="1" showInputMessage="1" showErrorMessage="1" sqref="BO7:BV7">
      <formula1>$EU$17:$EU$21</formula1>
    </dataValidation>
    <dataValidation type="list" showInputMessage="1" showErrorMessage="1" sqref="BB1:BX1">
      <formula1>$EU$4:$EU$4</formula1>
    </dataValidation>
    <dataValidation type="list" allowBlank="1" showInputMessage="1" showErrorMessage="1" sqref="CW9:CZ18">
      <formula1>$EX$4:$EX$6</formula1>
    </dataValidation>
    <dataValidation type="custom" allowBlank="1" showInputMessage="1" showErrorMessage="1" sqref="EU2">
      <formula1>#REF!</formula1>
    </dataValidation>
    <dataValidation showInputMessage="1" sqref="CN3 CY3 DY3"/>
    <dataValidation type="list" allowBlank="1" showInputMessage="1" showErrorMessage="1" sqref="AY5:BD5">
      <formula1>$EU$7:$EU$10</formula1>
    </dataValidation>
    <dataValidation type="list" showInputMessage="1" sqref="CN2:CU2">
      <formula1>$EY$4:$EY$25</formula1>
    </dataValidation>
    <dataValidation type="list" allowBlank="1" showInputMessage="1" showErrorMessage="1" sqref="BO5:BV6">
      <formula1>$EU$23:$EU$27</formula1>
    </dataValidation>
    <dataValidation allowBlank="1" showInputMessage="1" sqref="AI2:AP2"/>
    <dataValidation type="list" allowBlank="1" showInputMessage="1" sqref="G2:X2">
      <formula1>$FB$2:$FB$230</formula1>
    </dataValidation>
    <dataValidation type="list" allowBlank="1" showInputMessage="1" showErrorMessage="1" sqref="CT9:CV18">
      <formula1>$EW$3:$EW$5</formula1>
    </dataValidation>
  </dataValidations>
  <printOptions horizontalCentered="1"/>
  <pageMargins left="0.43307086614173229" right="0.31496062992125984" top="0.39370078740157483" bottom="0.39370078740157483" header="0.51181102362204722" footer="0.51181102362204722"/>
  <pageSetup paperSize="9" scale="65" orientation="landscape" r:id="rId1"/>
  <headerFooter alignWithMargins="0"/>
  <ignoredErrors>
    <ignoredError sqref="Q35 M36:R41 AA35:AF41 AO35:AT41 BC35:BH41 BI37:BI39 BQ35:CJ41 BJ37:BP41 BI4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07"/>
  <sheetViews>
    <sheetView topLeftCell="A10" workbookViewId="0">
      <selection activeCell="H19" sqref="H19"/>
    </sheetView>
  </sheetViews>
  <sheetFormatPr defaultRowHeight="13.5"/>
  <cols>
    <col min="1" max="1" width="35.5" style="50" bestFit="1" customWidth="1"/>
    <col min="2" max="2" width="17.625" style="50" bestFit="1" customWidth="1"/>
    <col min="3" max="3" width="28" style="50" bestFit="1" customWidth="1"/>
    <col min="4" max="4" width="9.75" style="101" bestFit="1" customWidth="1"/>
  </cols>
  <sheetData>
    <row r="1" spans="1:4">
      <c r="A1" s="94" t="s">
        <v>261</v>
      </c>
      <c r="B1" s="94" t="s">
        <v>262</v>
      </c>
      <c r="C1" s="94" t="s">
        <v>263</v>
      </c>
      <c r="D1" s="98" t="s">
        <v>260</v>
      </c>
    </row>
    <row r="2" spans="1:4">
      <c r="A2" s="94" t="s">
        <v>264</v>
      </c>
      <c r="B2" s="94" t="s">
        <v>265</v>
      </c>
      <c r="C2" s="94" t="s">
        <v>266</v>
      </c>
      <c r="D2" s="98" t="s">
        <v>738</v>
      </c>
    </row>
    <row r="3" spans="1:4">
      <c r="A3" s="94" t="s">
        <v>267</v>
      </c>
      <c r="B3" s="94" t="s">
        <v>267</v>
      </c>
      <c r="C3" s="94" t="s">
        <v>268</v>
      </c>
      <c r="D3" s="98" t="s">
        <v>739</v>
      </c>
    </row>
    <row r="4" spans="1:4">
      <c r="A4" s="94" t="s">
        <v>269</v>
      </c>
      <c r="B4" s="94" t="s">
        <v>270</v>
      </c>
      <c r="C4" s="94" t="s">
        <v>271</v>
      </c>
      <c r="D4" s="98">
        <v>1698</v>
      </c>
    </row>
    <row r="5" spans="1:4">
      <c r="A5" s="94" t="s">
        <v>272</v>
      </c>
      <c r="B5" s="94" t="s">
        <v>273</v>
      </c>
      <c r="C5" s="94" t="s">
        <v>274</v>
      </c>
      <c r="D5" s="98" t="s">
        <v>740</v>
      </c>
    </row>
    <row r="6" spans="1:4">
      <c r="A6" s="94" t="s">
        <v>275</v>
      </c>
      <c r="B6" s="94" t="s">
        <v>275</v>
      </c>
      <c r="C6" s="94" t="s">
        <v>276</v>
      </c>
      <c r="D6" s="98" t="s">
        <v>741</v>
      </c>
    </row>
    <row r="7" spans="1:4">
      <c r="A7" s="94" t="s">
        <v>277</v>
      </c>
      <c r="B7" s="94" t="s">
        <v>277</v>
      </c>
      <c r="C7" s="94" t="s">
        <v>278</v>
      </c>
      <c r="D7" s="98" t="s">
        <v>742</v>
      </c>
    </row>
    <row r="8" spans="1:4">
      <c r="A8" s="94" t="s">
        <v>279</v>
      </c>
      <c r="B8" s="94" t="s">
        <v>279</v>
      </c>
      <c r="C8" s="94" t="s">
        <v>280</v>
      </c>
      <c r="D8" s="98" t="s">
        <v>743</v>
      </c>
    </row>
    <row r="9" spans="1:4">
      <c r="A9" s="94" t="s">
        <v>281</v>
      </c>
      <c r="B9" s="94" t="s">
        <v>281</v>
      </c>
      <c r="C9" s="94" t="s">
        <v>282</v>
      </c>
      <c r="D9" s="98" t="s">
        <v>744</v>
      </c>
    </row>
    <row r="10" spans="1:4">
      <c r="A10" s="94" t="s">
        <v>283</v>
      </c>
      <c r="B10" s="94" t="s">
        <v>283</v>
      </c>
      <c r="C10" s="94" t="s">
        <v>284</v>
      </c>
      <c r="D10" s="98" t="s">
        <v>745</v>
      </c>
    </row>
    <row r="11" spans="1:4">
      <c r="A11" s="94" t="s">
        <v>285</v>
      </c>
      <c r="B11" s="94" t="s">
        <v>286</v>
      </c>
      <c r="C11" s="94" t="s">
        <v>287</v>
      </c>
      <c r="D11" s="98" t="s">
        <v>746</v>
      </c>
    </row>
    <row r="12" spans="1:4">
      <c r="A12" s="94" t="s">
        <v>288</v>
      </c>
      <c r="B12" s="94" t="s">
        <v>288</v>
      </c>
      <c r="C12" s="94" t="s">
        <v>289</v>
      </c>
      <c r="D12" s="98" t="s">
        <v>747</v>
      </c>
    </row>
    <row r="13" spans="1:4">
      <c r="A13" s="94" t="s">
        <v>290</v>
      </c>
      <c r="B13" s="94" t="s">
        <v>290</v>
      </c>
      <c r="C13" s="94" t="s">
        <v>291</v>
      </c>
      <c r="D13" s="98" t="s">
        <v>748</v>
      </c>
    </row>
    <row r="14" spans="1:4">
      <c r="A14" s="94" t="s">
        <v>292</v>
      </c>
      <c r="B14" s="94" t="s">
        <v>292</v>
      </c>
      <c r="C14" s="94" t="s">
        <v>293</v>
      </c>
      <c r="D14" s="98">
        <v>1737</v>
      </c>
    </row>
    <row r="15" spans="1:4">
      <c r="A15" s="94" t="s">
        <v>294</v>
      </c>
      <c r="B15" s="94" t="s">
        <v>294</v>
      </c>
      <c r="C15" s="94" t="s">
        <v>295</v>
      </c>
      <c r="D15" s="98">
        <v>4955</v>
      </c>
    </row>
    <row r="16" spans="1:4">
      <c r="A16" s="94" t="s">
        <v>296</v>
      </c>
      <c r="B16" s="94" t="s">
        <v>297</v>
      </c>
      <c r="C16" s="94" t="s">
        <v>298</v>
      </c>
      <c r="D16" s="98">
        <v>1859</v>
      </c>
    </row>
    <row r="17" spans="1:4">
      <c r="A17" s="94" t="s">
        <v>299</v>
      </c>
      <c r="B17" s="94" t="s">
        <v>299</v>
      </c>
      <c r="C17" s="94" t="s">
        <v>300</v>
      </c>
      <c r="D17" s="98">
        <v>1739</v>
      </c>
    </row>
    <row r="18" spans="1:4">
      <c r="A18" s="94" t="s">
        <v>301</v>
      </c>
      <c r="B18" s="94" t="s">
        <v>301</v>
      </c>
      <c r="C18" s="94" t="s">
        <v>302</v>
      </c>
      <c r="D18" s="98">
        <v>1742</v>
      </c>
    </row>
    <row r="19" spans="1:4">
      <c r="A19" s="94" t="s">
        <v>303</v>
      </c>
      <c r="B19" s="94" t="s">
        <v>303</v>
      </c>
      <c r="C19" s="94" t="s">
        <v>304</v>
      </c>
      <c r="D19" s="98">
        <v>1740</v>
      </c>
    </row>
    <row r="20" spans="1:4">
      <c r="A20" s="94" t="s">
        <v>305</v>
      </c>
      <c r="B20" s="94" t="s">
        <v>305</v>
      </c>
      <c r="C20" s="94" t="s">
        <v>306</v>
      </c>
      <c r="D20" s="98">
        <v>1614</v>
      </c>
    </row>
    <row r="21" spans="1:4">
      <c r="A21" s="94" t="s">
        <v>307</v>
      </c>
      <c r="B21" s="94" t="s">
        <v>308</v>
      </c>
      <c r="C21" s="94" t="s">
        <v>309</v>
      </c>
      <c r="D21" s="98">
        <v>1798</v>
      </c>
    </row>
    <row r="22" spans="1:4">
      <c r="A22" s="94" t="s">
        <v>310</v>
      </c>
      <c r="B22" s="94" t="s">
        <v>310</v>
      </c>
      <c r="C22" s="94" t="s">
        <v>311</v>
      </c>
      <c r="D22" s="98" t="s">
        <v>749</v>
      </c>
    </row>
    <row r="23" spans="1:4">
      <c r="A23" s="94" t="s">
        <v>312</v>
      </c>
      <c r="B23" s="94" t="s">
        <v>313</v>
      </c>
      <c r="C23" s="94" t="s">
        <v>314</v>
      </c>
      <c r="D23" s="98">
        <v>6146</v>
      </c>
    </row>
    <row r="24" spans="1:4">
      <c r="A24" s="94" t="s">
        <v>315</v>
      </c>
      <c r="B24" s="94" t="s">
        <v>316</v>
      </c>
      <c r="C24" s="94" t="s">
        <v>317</v>
      </c>
      <c r="D24" s="98">
        <v>6148</v>
      </c>
    </row>
    <row r="25" spans="1:4">
      <c r="A25" s="94" t="s">
        <v>318</v>
      </c>
      <c r="B25" s="94" t="s">
        <v>318</v>
      </c>
      <c r="C25" s="94" t="s">
        <v>319</v>
      </c>
      <c r="D25" s="98">
        <v>6208</v>
      </c>
    </row>
    <row r="26" spans="1:4">
      <c r="A26" s="94" t="s">
        <v>320</v>
      </c>
      <c r="B26" s="94" t="s">
        <v>320</v>
      </c>
      <c r="C26" s="94" t="s">
        <v>321</v>
      </c>
      <c r="D26" s="98">
        <v>6147</v>
      </c>
    </row>
    <row r="27" spans="1:4">
      <c r="A27" s="94" t="s">
        <v>322</v>
      </c>
      <c r="B27" s="94" t="s">
        <v>322</v>
      </c>
      <c r="C27" s="94" t="s">
        <v>323</v>
      </c>
      <c r="D27" s="98">
        <v>1085</v>
      </c>
    </row>
    <row r="28" spans="1:4">
      <c r="A28" s="94" t="s">
        <v>324</v>
      </c>
      <c r="B28" s="94" t="s">
        <v>325</v>
      </c>
      <c r="C28" s="94" t="s">
        <v>326</v>
      </c>
      <c r="D28" s="98">
        <v>1418</v>
      </c>
    </row>
    <row r="29" spans="1:4">
      <c r="A29" s="94" t="s">
        <v>327</v>
      </c>
      <c r="B29" s="94" t="s">
        <v>327</v>
      </c>
      <c r="C29" s="94" t="s">
        <v>328</v>
      </c>
      <c r="D29" s="98">
        <v>1437</v>
      </c>
    </row>
    <row r="30" spans="1:4">
      <c r="A30" s="94" t="s">
        <v>329</v>
      </c>
      <c r="B30" s="94" t="s">
        <v>330</v>
      </c>
      <c r="C30" s="94" t="s">
        <v>331</v>
      </c>
      <c r="D30" s="98">
        <v>3837</v>
      </c>
    </row>
    <row r="31" spans="1:4">
      <c r="A31" s="94" t="s">
        <v>332</v>
      </c>
      <c r="B31" s="94" t="s">
        <v>332</v>
      </c>
      <c r="C31" s="94" t="s">
        <v>333</v>
      </c>
      <c r="D31" s="98" t="s">
        <v>750</v>
      </c>
    </row>
    <row r="32" spans="1:4">
      <c r="A32" s="94" t="s">
        <v>334</v>
      </c>
      <c r="B32" s="94" t="s">
        <v>334</v>
      </c>
      <c r="C32" s="94" t="s">
        <v>335</v>
      </c>
      <c r="D32" s="98" t="s">
        <v>751</v>
      </c>
    </row>
    <row r="33" spans="1:4">
      <c r="A33" s="94" t="s">
        <v>336</v>
      </c>
      <c r="B33" s="94" t="s">
        <v>336</v>
      </c>
      <c r="C33" s="94" t="s">
        <v>337</v>
      </c>
      <c r="D33" s="98" t="s">
        <v>752</v>
      </c>
    </row>
    <row r="34" spans="1:4">
      <c r="A34" s="94" t="s">
        <v>338</v>
      </c>
      <c r="B34" s="94" t="s">
        <v>338</v>
      </c>
      <c r="C34" s="94" t="s">
        <v>339</v>
      </c>
      <c r="D34" s="98">
        <v>3388</v>
      </c>
    </row>
    <row r="35" spans="1:4">
      <c r="A35" s="94" t="s">
        <v>340</v>
      </c>
      <c r="B35" s="94" t="s">
        <v>341</v>
      </c>
      <c r="C35" s="94" t="s">
        <v>342</v>
      </c>
      <c r="D35" s="98" t="s">
        <v>753</v>
      </c>
    </row>
    <row r="36" spans="1:4">
      <c r="A36" s="94" t="s">
        <v>343</v>
      </c>
      <c r="B36" s="94" t="s">
        <v>343</v>
      </c>
      <c r="C36" s="94" t="s">
        <v>344</v>
      </c>
      <c r="D36" s="98" t="s">
        <v>754</v>
      </c>
    </row>
    <row r="37" spans="1:4">
      <c r="A37" s="94" t="s">
        <v>345</v>
      </c>
      <c r="B37" s="94" t="s">
        <v>345</v>
      </c>
      <c r="C37" s="94" t="s">
        <v>346</v>
      </c>
      <c r="D37" s="98">
        <v>2933</v>
      </c>
    </row>
    <row r="38" spans="1:4">
      <c r="A38" s="94" t="s">
        <v>347</v>
      </c>
      <c r="B38" s="94" t="s">
        <v>348</v>
      </c>
      <c r="C38" s="94" t="s">
        <v>349</v>
      </c>
      <c r="D38" s="98">
        <v>2869</v>
      </c>
    </row>
    <row r="39" spans="1:4">
      <c r="A39" s="94" t="s">
        <v>350</v>
      </c>
      <c r="B39" s="94" t="s">
        <v>350</v>
      </c>
      <c r="C39" s="94" t="s">
        <v>351</v>
      </c>
      <c r="D39" s="98">
        <v>4011</v>
      </c>
    </row>
    <row r="40" spans="1:4">
      <c r="A40" s="94" t="s">
        <v>352</v>
      </c>
      <c r="B40" s="94" t="s">
        <v>353</v>
      </c>
      <c r="C40" s="94" t="s">
        <v>354</v>
      </c>
      <c r="D40" s="98" t="s">
        <v>755</v>
      </c>
    </row>
    <row r="41" spans="1:4">
      <c r="A41" s="94" t="s">
        <v>355</v>
      </c>
      <c r="B41" s="94" t="s">
        <v>355</v>
      </c>
      <c r="C41" s="94" t="s">
        <v>356</v>
      </c>
      <c r="D41" s="98">
        <v>3987</v>
      </c>
    </row>
    <row r="42" spans="1:4">
      <c r="A42" s="94" t="s">
        <v>357</v>
      </c>
      <c r="B42" s="94" t="s">
        <v>357</v>
      </c>
      <c r="C42" s="94" t="s">
        <v>358</v>
      </c>
      <c r="D42" s="98">
        <v>4017</v>
      </c>
    </row>
    <row r="43" spans="1:4">
      <c r="A43" s="94" t="s">
        <v>359</v>
      </c>
      <c r="B43" s="94" t="s">
        <v>360</v>
      </c>
      <c r="C43" s="94" t="s">
        <v>361</v>
      </c>
      <c r="D43" s="98">
        <v>1202</v>
      </c>
    </row>
    <row r="44" spans="1:4">
      <c r="A44" s="94" t="s">
        <v>362</v>
      </c>
      <c r="B44" s="94" t="s">
        <v>362</v>
      </c>
      <c r="C44" s="94" t="s">
        <v>363</v>
      </c>
      <c r="D44" s="98">
        <v>2189</v>
      </c>
    </row>
    <row r="45" spans="1:4">
      <c r="A45" s="94" t="s">
        <v>364</v>
      </c>
      <c r="B45" s="94" t="s">
        <v>364</v>
      </c>
      <c r="C45" s="94" t="s">
        <v>365</v>
      </c>
      <c r="D45" s="98">
        <v>2184</v>
      </c>
    </row>
    <row r="46" spans="1:4">
      <c r="A46" s="94" t="s">
        <v>366</v>
      </c>
      <c r="B46" s="94" t="s">
        <v>366</v>
      </c>
      <c r="C46" s="94" t="s">
        <v>367</v>
      </c>
      <c r="D46" s="98">
        <v>9940</v>
      </c>
    </row>
    <row r="47" spans="1:4">
      <c r="A47" s="94" t="s">
        <v>368</v>
      </c>
      <c r="B47" s="94" t="s">
        <v>368</v>
      </c>
      <c r="C47" s="94" t="s">
        <v>369</v>
      </c>
      <c r="D47" s="98">
        <v>2211</v>
      </c>
    </row>
    <row r="48" spans="1:4">
      <c r="A48" s="94" t="s">
        <v>370</v>
      </c>
      <c r="B48" s="94" t="s">
        <v>370</v>
      </c>
      <c r="C48" s="94" t="s">
        <v>371</v>
      </c>
      <c r="D48" s="98">
        <v>2106</v>
      </c>
    </row>
    <row r="49" spans="1:4">
      <c r="A49" s="94" t="s">
        <v>372</v>
      </c>
      <c r="B49" s="94" t="s">
        <v>372</v>
      </c>
      <c r="C49" s="94" t="s">
        <v>373</v>
      </c>
      <c r="D49" s="98">
        <v>2113</v>
      </c>
    </row>
    <row r="50" spans="1:4">
      <c r="A50" s="94" t="s">
        <v>374</v>
      </c>
      <c r="B50" s="94" t="s">
        <v>374</v>
      </c>
      <c r="C50" s="94" t="s">
        <v>375</v>
      </c>
      <c r="D50" s="98">
        <v>2294</v>
      </c>
    </row>
    <row r="51" spans="1:4">
      <c r="A51" s="94" t="s">
        <v>376</v>
      </c>
      <c r="B51" s="94" t="s">
        <v>376</v>
      </c>
      <c r="C51" s="94" t="s">
        <v>377</v>
      </c>
      <c r="D51" s="98">
        <v>2006</v>
      </c>
    </row>
    <row r="52" spans="1:4">
      <c r="A52" s="94" t="s">
        <v>378</v>
      </c>
      <c r="B52" s="94" t="s">
        <v>379</v>
      </c>
      <c r="C52" s="94" t="s">
        <v>380</v>
      </c>
      <c r="D52" s="98">
        <v>2264</v>
      </c>
    </row>
    <row r="53" spans="1:4">
      <c r="A53" s="94" t="s">
        <v>381</v>
      </c>
      <c r="B53" s="94" t="s">
        <v>381</v>
      </c>
      <c r="C53" s="94" t="s">
        <v>382</v>
      </c>
      <c r="D53" s="98">
        <v>2207</v>
      </c>
    </row>
    <row r="54" spans="1:4">
      <c r="A54" s="94" t="s">
        <v>383</v>
      </c>
      <c r="B54" s="94" t="s">
        <v>383</v>
      </c>
      <c r="C54" s="94" t="s">
        <v>384</v>
      </c>
      <c r="D54" s="98">
        <v>1249</v>
      </c>
    </row>
    <row r="55" spans="1:4">
      <c r="A55" s="94" t="s">
        <v>385</v>
      </c>
      <c r="B55" s="94" t="s">
        <v>385</v>
      </c>
      <c r="C55" s="94" t="s">
        <v>386</v>
      </c>
      <c r="D55" s="98">
        <v>2187</v>
      </c>
    </row>
    <row r="56" spans="1:4">
      <c r="A56" s="94" t="s">
        <v>387</v>
      </c>
      <c r="B56" s="94" t="s">
        <v>388</v>
      </c>
      <c r="C56" s="94" t="s">
        <v>389</v>
      </c>
      <c r="D56" s="98">
        <v>2086</v>
      </c>
    </row>
    <row r="57" spans="1:4">
      <c r="A57" s="94" t="s">
        <v>390</v>
      </c>
      <c r="B57" s="94" t="s">
        <v>390</v>
      </c>
      <c r="C57" s="94" t="s">
        <v>391</v>
      </c>
      <c r="D57" s="98">
        <v>1252</v>
      </c>
    </row>
    <row r="58" spans="1:4">
      <c r="A58" s="94" t="s">
        <v>392</v>
      </c>
      <c r="B58" s="94" t="s">
        <v>392</v>
      </c>
      <c r="C58" s="94" t="s">
        <v>393</v>
      </c>
      <c r="D58" s="98">
        <v>2143</v>
      </c>
    </row>
    <row r="59" spans="1:4">
      <c r="A59" s="94" t="s">
        <v>394</v>
      </c>
      <c r="B59" s="94" t="s">
        <v>394</v>
      </c>
      <c r="C59" s="94" t="s">
        <v>395</v>
      </c>
      <c r="D59" s="98">
        <v>1964</v>
      </c>
    </row>
    <row r="60" spans="1:4">
      <c r="A60" s="94" t="s">
        <v>396</v>
      </c>
      <c r="B60" s="94" t="s">
        <v>396</v>
      </c>
      <c r="C60" s="94" t="s">
        <v>397</v>
      </c>
      <c r="D60" s="98">
        <v>2166</v>
      </c>
    </row>
    <row r="61" spans="1:4">
      <c r="A61" s="94" t="s">
        <v>398</v>
      </c>
      <c r="B61" s="94" t="s">
        <v>399</v>
      </c>
      <c r="C61" s="94" t="s">
        <v>400</v>
      </c>
      <c r="D61" s="98">
        <v>1372</v>
      </c>
    </row>
    <row r="62" spans="1:4">
      <c r="A62" s="94" t="s">
        <v>401</v>
      </c>
      <c r="B62" s="94" t="s">
        <v>402</v>
      </c>
      <c r="C62" s="94" t="s">
        <v>403</v>
      </c>
      <c r="D62" s="98" t="s">
        <v>756</v>
      </c>
    </row>
    <row r="63" spans="1:4">
      <c r="A63" s="94" t="s">
        <v>404</v>
      </c>
      <c r="B63" s="94" t="s">
        <v>405</v>
      </c>
      <c r="C63" s="94" t="s">
        <v>406</v>
      </c>
      <c r="D63" s="98">
        <v>2059</v>
      </c>
    </row>
    <row r="64" spans="1:4">
      <c r="A64" s="94" t="s">
        <v>407</v>
      </c>
      <c r="B64" s="94" t="s">
        <v>407</v>
      </c>
      <c r="C64" s="94" t="s">
        <v>408</v>
      </c>
      <c r="D64" s="98">
        <v>2186</v>
      </c>
    </row>
    <row r="65" spans="1:4">
      <c r="A65" s="94" t="s">
        <v>409</v>
      </c>
      <c r="B65" s="94" t="s">
        <v>409</v>
      </c>
      <c r="C65" s="94" t="s">
        <v>410</v>
      </c>
      <c r="D65" s="98">
        <v>2132</v>
      </c>
    </row>
    <row r="66" spans="1:4">
      <c r="A66" s="94" t="s">
        <v>411</v>
      </c>
      <c r="B66" s="94" t="s">
        <v>411</v>
      </c>
      <c r="C66" s="94" t="s">
        <v>412</v>
      </c>
      <c r="D66" s="98" t="s">
        <v>757</v>
      </c>
    </row>
    <row r="67" spans="1:4">
      <c r="A67" s="94" t="s">
        <v>413</v>
      </c>
      <c r="B67" s="94" t="s">
        <v>413</v>
      </c>
      <c r="C67" s="94" t="s">
        <v>414</v>
      </c>
      <c r="D67" s="98">
        <v>4895</v>
      </c>
    </row>
    <row r="68" spans="1:4">
      <c r="A68" s="94" t="s">
        <v>415</v>
      </c>
      <c r="B68" s="94" t="s">
        <v>416</v>
      </c>
      <c r="C68" s="94" t="s">
        <v>417</v>
      </c>
      <c r="D68" s="98">
        <v>4950</v>
      </c>
    </row>
    <row r="69" spans="1:4">
      <c r="A69" s="94" t="s">
        <v>418</v>
      </c>
      <c r="B69" s="94" t="s">
        <v>418</v>
      </c>
      <c r="C69" s="94" t="s">
        <v>419</v>
      </c>
      <c r="D69" s="98">
        <v>4896</v>
      </c>
    </row>
    <row r="70" spans="1:4">
      <c r="A70" s="94" t="s">
        <v>420</v>
      </c>
      <c r="B70" s="94" t="s">
        <v>420</v>
      </c>
      <c r="C70" s="94" t="s">
        <v>421</v>
      </c>
      <c r="D70" s="98">
        <v>6812</v>
      </c>
    </row>
    <row r="71" spans="1:4">
      <c r="A71" s="94" t="s">
        <v>422</v>
      </c>
      <c r="B71" s="94" t="s">
        <v>422</v>
      </c>
      <c r="C71" s="94" t="s">
        <v>423</v>
      </c>
      <c r="D71" s="98">
        <v>4676</v>
      </c>
    </row>
    <row r="72" spans="1:4">
      <c r="A72" s="94" t="s">
        <v>424</v>
      </c>
      <c r="B72" s="94" t="s">
        <v>424</v>
      </c>
      <c r="C72" s="94" t="s">
        <v>425</v>
      </c>
      <c r="D72" s="98">
        <v>4663</v>
      </c>
    </row>
    <row r="73" spans="1:4">
      <c r="A73" s="94" t="s">
        <v>426</v>
      </c>
      <c r="B73" s="94" t="s">
        <v>426</v>
      </c>
      <c r="C73" s="94" t="s">
        <v>427</v>
      </c>
      <c r="D73" s="98">
        <v>4522</v>
      </c>
    </row>
    <row r="74" spans="1:4">
      <c r="A74" s="94" t="s">
        <v>428</v>
      </c>
      <c r="B74" s="94" t="s">
        <v>428</v>
      </c>
      <c r="C74" s="94" t="s">
        <v>429</v>
      </c>
      <c r="D74" s="98">
        <v>4600</v>
      </c>
    </row>
    <row r="75" spans="1:4">
      <c r="A75" s="94" t="s">
        <v>430</v>
      </c>
      <c r="B75" s="94" t="s">
        <v>430</v>
      </c>
      <c r="C75" s="94" t="s">
        <v>431</v>
      </c>
      <c r="D75" s="98">
        <v>5249</v>
      </c>
    </row>
    <row r="76" spans="1:4">
      <c r="A76" s="94" t="s">
        <v>432</v>
      </c>
      <c r="B76" s="94" t="s">
        <v>432</v>
      </c>
      <c r="C76" s="94" t="s">
        <v>433</v>
      </c>
      <c r="D76" s="98">
        <v>1651</v>
      </c>
    </row>
    <row r="77" spans="1:4">
      <c r="A77" s="94" t="s">
        <v>434</v>
      </c>
      <c r="B77" s="94" t="s">
        <v>434</v>
      </c>
      <c r="C77" s="94" t="s">
        <v>435</v>
      </c>
      <c r="D77" s="98">
        <v>4863</v>
      </c>
    </row>
    <row r="78" spans="1:4">
      <c r="A78" s="94" t="s">
        <v>436</v>
      </c>
      <c r="B78" s="94" t="s">
        <v>436</v>
      </c>
      <c r="C78" s="94" t="s">
        <v>437</v>
      </c>
      <c r="D78" s="98">
        <v>1825</v>
      </c>
    </row>
    <row r="79" spans="1:4">
      <c r="A79" s="94" t="s">
        <v>438</v>
      </c>
      <c r="B79" s="94" t="s">
        <v>438</v>
      </c>
      <c r="C79" s="94" t="s">
        <v>439</v>
      </c>
      <c r="D79" s="98">
        <v>4528</v>
      </c>
    </row>
    <row r="80" spans="1:4">
      <c r="A80" s="94" t="s">
        <v>440</v>
      </c>
      <c r="B80" s="94" t="s">
        <v>440</v>
      </c>
      <c r="C80" s="94" t="s">
        <v>441</v>
      </c>
      <c r="D80" s="98">
        <v>1240</v>
      </c>
    </row>
    <row r="81" spans="1:4">
      <c r="A81" s="94" t="s">
        <v>442</v>
      </c>
      <c r="B81" s="94" t="s">
        <v>442</v>
      </c>
      <c r="C81" s="94" t="s">
        <v>443</v>
      </c>
      <c r="D81" s="98">
        <v>1243</v>
      </c>
    </row>
    <row r="82" spans="1:4">
      <c r="A82" s="94" t="s">
        <v>444</v>
      </c>
      <c r="B82" s="94" t="s">
        <v>445</v>
      </c>
      <c r="C82" s="94" t="s">
        <v>446</v>
      </c>
      <c r="D82" s="98">
        <v>5010</v>
      </c>
    </row>
    <row r="83" spans="1:4">
      <c r="A83" s="94" t="s">
        <v>447</v>
      </c>
      <c r="B83" s="94" t="s">
        <v>448</v>
      </c>
      <c r="C83" s="94" t="s">
        <v>449</v>
      </c>
      <c r="D83" s="98">
        <v>4890</v>
      </c>
    </row>
    <row r="84" spans="1:4">
      <c r="A84" s="94" t="s">
        <v>450</v>
      </c>
      <c r="B84" s="94" t="s">
        <v>450</v>
      </c>
      <c r="C84" s="94" t="s">
        <v>451</v>
      </c>
      <c r="D84" s="98">
        <v>4621</v>
      </c>
    </row>
    <row r="85" spans="1:4">
      <c r="A85" s="94" t="s">
        <v>452</v>
      </c>
      <c r="B85" s="94" t="s">
        <v>452</v>
      </c>
      <c r="C85" s="94" t="s">
        <v>453</v>
      </c>
      <c r="D85" s="98">
        <v>4887</v>
      </c>
    </row>
    <row r="86" spans="1:4">
      <c r="A86" s="94" t="s">
        <v>454</v>
      </c>
      <c r="B86" s="94" t="s">
        <v>454</v>
      </c>
      <c r="C86" s="94" t="s">
        <v>455</v>
      </c>
      <c r="D86" s="98">
        <v>4625</v>
      </c>
    </row>
    <row r="87" spans="1:4">
      <c r="A87" s="94" t="s">
        <v>456</v>
      </c>
      <c r="B87" s="94" t="s">
        <v>456</v>
      </c>
      <c r="C87" s="94" t="s">
        <v>457</v>
      </c>
      <c r="D87" s="98">
        <v>4861</v>
      </c>
    </row>
    <row r="88" spans="1:4">
      <c r="A88" s="94" t="s">
        <v>458</v>
      </c>
      <c r="B88" s="94" t="s">
        <v>458</v>
      </c>
      <c r="C88" s="94" t="s">
        <v>459</v>
      </c>
      <c r="D88" s="98">
        <v>1851</v>
      </c>
    </row>
    <row r="89" spans="1:4">
      <c r="A89" s="94" t="s">
        <v>460</v>
      </c>
      <c r="B89" s="94" t="s">
        <v>461</v>
      </c>
      <c r="C89" s="94" t="s">
        <v>462</v>
      </c>
      <c r="D89" s="98">
        <v>4803</v>
      </c>
    </row>
    <row r="90" spans="1:4">
      <c r="A90" s="94" t="s">
        <v>463</v>
      </c>
      <c r="B90" s="94" t="s">
        <v>463</v>
      </c>
      <c r="C90" s="94" t="s">
        <v>464</v>
      </c>
      <c r="D90" s="98">
        <v>5095</v>
      </c>
    </row>
    <row r="91" spans="1:4">
      <c r="A91" s="94" t="s">
        <v>465</v>
      </c>
      <c r="B91" s="94" t="s">
        <v>465</v>
      </c>
      <c r="C91" s="94" t="s">
        <v>466</v>
      </c>
      <c r="D91" s="98">
        <v>4595</v>
      </c>
    </row>
    <row r="92" spans="1:4">
      <c r="A92" s="94" t="s">
        <v>467</v>
      </c>
      <c r="B92" s="94" t="s">
        <v>467</v>
      </c>
      <c r="C92" s="94" t="s">
        <v>468</v>
      </c>
      <c r="D92" s="98">
        <v>4570</v>
      </c>
    </row>
    <row r="93" spans="1:4">
      <c r="A93" s="94" t="s">
        <v>469</v>
      </c>
      <c r="B93" s="94" t="s">
        <v>470</v>
      </c>
      <c r="C93" s="94" t="s">
        <v>471</v>
      </c>
      <c r="D93" s="98" t="s">
        <v>758</v>
      </c>
    </row>
    <row r="94" spans="1:4">
      <c r="A94" s="94" t="s">
        <v>472</v>
      </c>
      <c r="B94" s="94" t="s">
        <v>473</v>
      </c>
      <c r="C94" s="94" t="s">
        <v>474</v>
      </c>
      <c r="D94" s="98">
        <v>5247</v>
      </c>
    </row>
    <row r="95" spans="1:4">
      <c r="A95" s="94" t="s">
        <v>475</v>
      </c>
      <c r="B95" s="94" t="s">
        <v>476</v>
      </c>
      <c r="C95" s="94" t="s">
        <v>477</v>
      </c>
      <c r="D95" s="98">
        <v>1852</v>
      </c>
    </row>
    <row r="96" spans="1:4">
      <c r="A96" s="94" t="s">
        <v>478</v>
      </c>
      <c r="B96" s="94" t="s">
        <v>476</v>
      </c>
      <c r="C96" s="94" t="s">
        <v>479</v>
      </c>
      <c r="D96" s="98">
        <v>1853</v>
      </c>
    </row>
    <row r="97" spans="1:4">
      <c r="A97" s="94" t="s">
        <v>480</v>
      </c>
      <c r="B97" s="94" t="s">
        <v>480</v>
      </c>
      <c r="C97" s="94" t="s">
        <v>481</v>
      </c>
      <c r="D97" s="98">
        <v>4721</v>
      </c>
    </row>
    <row r="98" spans="1:4">
      <c r="A98" s="94" t="s">
        <v>482</v>
      </c>
      <c r="B98" s="94" t="s">
        <v>483</v>
      </c>
      <c r="C98" s="94" t="s">
        <v>484</v>
      </c>
      <c r="D98" s="98">
        <v>5016</v>
      </c>
    </row>
    <row r="99" spans="1:4">
      <c r="A99" s="94" t="s">
        <v>485</v>
      </c>
      <c r="B99" s="94" t="s">
        <v>486</v>
      </c>
      <c r="C99" s="94" t="s">
        <v>487</v>
      </c>
      <c r="D99" s="98">
        <v>4960</v>
      </c>
    </row>
    <row r="100" spans="1:4">
      <c r="A100" s="94" t="s">
        <v>488</v>
      </c>
      <c r="B100" s="94" t="s">
        <v>489</v>
      </c>
      <c r="C100" s="94" t="s">
        <v>490</v>
      </c>
      <c r="D100" s="98">
        <v>4793</v>
      </c>
    </row>
    <row r="101" spans="1:4">
      <c r="A101" s="94" t="s">
        <v>491</v>
      </c>
      <c r="B101" s="94" t="s">
        <v>491</v>
      </c>
      <c r="C101" s="94" t="s">
        <v>492</v>
      </c>
      <c r="D101" s="98">
        <v>4892</v>
      </c>
    </row>
    <row r="102" spans="1:4">
      <c r="A102" s="94" t="s">
        <v>493</v>
      </c>
      <c r="B102" s="94" t="s">
        <v>493</v>
      </c>
      <c r="C102" s="94" t="s">
        <v>494</v>
      </c>
      <c r="D102" s="98">
        <v>4891</v>
      </c>
    </row>
    <row r="103" spans="1:4">
      <c r="A103" s="94" t="s">
        <v>495</v>
      </c>
      <c r="B103" s="94" t="s">
        <v>495</v>
      </c>
      <c r="C103" s="94" t="s">
        <v>496</v>
      </c>
      <c r="D103" s="98" t="s">
        <v>759</v>
      </c>
    </row>
    <row r="104" spans="1:4">
      <c r="A104" s="94" t="s">
        <v>497</v>
      </c>
      <c r="B104" s="94" t="s">
        <v>498</v>
      </c>
      <c r="C104" s="94" t="s">
        <v>499</v>
      </c>
      <c r="D104" s="98">
        <v>5456</v>
      </c>
    </row>
    <row r="105" spans="1:4">
      <c r="A105" s="94" t="s">
        <v>500</v>
      </c>
      <c r="B105" s="94" t="s">
        <v>500</v>
      </c>
      <c r="C105" s="94" t="s">
        <v>501</v>
      </c>
      <c r="D105" s="98" t="s">
        <v>760</v>
      </c>
    </row>
    <row r="106" spans="1:4">
      <c r="A106" s="94" t="s">
        <v>502</v>
      </c>
      <c r="B106" s="94" t="s">
        <v>502</v>
      </c>
      <c r="C106" s="94" t="s">
        <v>503</v>
      </c>
      <c r="D106" s="98" t="s">
        <v>761</v>
      </c>
    </row>
    <row r="107" spans="1:4">
      <c r="A107" s="94" t="s">
        <v>504</v>
      </c>
      <c r="B107" s="94" t="s">
        <v>504</v>
      </c>
      <c r="C107" s="94" t="s">
        <v>505</v>
      </c>
      <c r="D107" s="98" t="s">
        <v>762</v>
      </c>
    </row>
    <row r="108" spans="1:4">
      <c r="A108" s="94" t="s">
        <v>506</v>
      </c>
      <c r="B108" s="94" t="s">
        <v>506</v>
      </c>
      <c r="C108" s="94" t="s">
        <v>507</v>
      </c>
      <c r="D108" s="98" t="s">
        <v>763</v>
      </c>
    </row>
    <row r="109" spans="1:4">
      <c r="A109" s="94" t="s">
        <v>508</v>
      </c>
      <c r="B109" s="94" t="s">
        <v>508</v>
      </c>
      <c r="C109" s="94" t="s">
        <v>509</v>
      </c>
      <c r="D109" s="98">
        <v>5424</v>
      </c>
    </row>
    <row r="110" spans="1:4">
      <c r="A110" s="94" t="s">
        <v>510</v>
      </c>
      <c r="B110" s="94" t="s">
        <v>511</v>
      </c>
      <c r="C110" s="94" t="s">
        <v>512</v>
      </c>
      <c r="D110" s="98" t="s">
        <v>764</v>
      </c>
    </row>
    <row r="111" spans="1:4">
      <c r="A111" s="94" t="s">
        <v>513</v>
      </c>
      <c r="B111" s="94" t="s">
        <v>513</v>
      </c>
      <c r="C111" s="94" t="s">
        <v>514</v>
      </c>
      <c r="D111" s="98" t="s">
        <v>765</v>
      </c>
    </row>
    <row r="112" spans="1:4">
      <c r="A112" s="94" t="s">
        <v>515</v>
      </c>
      <c r="B112" s="94" t="s">
        <v>515</v>
      </c>
      <c r="C112" s="94" t="s">
        <v>516</v>
      </c>
      <c r="D112" s="98" t="s">
        <v>766</v>
      </c>
    </row>
    <row r="113" spans="1:4">
      <c r="A113" s="94" t="s">
        <v>517</v>
      </c>
      <c r="B113" s="94" t="s">
        <v>517</v>
      </c>
      <c r="C113" s="94" t="s">
        <v>518</v>
      </c>
      <c r="D113" s="98">
        <v>5642</v>
      </c>
    </row>
    <row r="114" spans="1:4">
      <c r="A114" s="94" t="s">
        <v>519</v>
      </c>
      <c r="B114" s="94" t="s">
        <v>519</v>
      </c>
      <c r="C114" s="94" t="s">
        <v>520</v>
      </c>
      <c r="D114" s="98">
        <v>5647</v>
      </c>
    </row>
    <row r="115" spans="1:4">
      <c r="A115" s="94" t="s">
        <v>521</v>
      </c>
      <c r="B115" s="94" t="s">
        <v>521</v>
      </c>
      <c r="C115" s="94" t="s">
        <v>522</v>
      </c>
      <c r="D115" s="98" t="s">
        <v>767</v>
      </c>
    </row>
    <row r="116" spans="1:4">
      <c r="A116" s="94" t="s">
        <v>523</v>
      </c>
      <c r="B116" s="94" t="s">
        <v>523</v>
      </c>
      <c r="C116" s="94" t="s">
        <v>524</v>
      </c>
      <c r="D116" s="98" t="s">
        <v>768</v>
      </c>
    </row>
    <row r="117" spans="1:4">
      <c r="A117" s="94" t="s">
        <v>525</v>
      </c>
      <c r="B117" s="94" t="s">
        <v>525</v>
      </c>
      <c r="C117" s="94" t="s">
        <v>526</v>
      </c>
      <c r="D117" s="98" t="s">
        <v>769</v>
      </c>
    </row>
    <row r="118" spans="1:4">
      <c r="A118" s="94" t="s">
        <v>527</v>
      </c>
      <c r="B118" s="94" t="s">
        <v>527</v>
      </c>
      <c r="C118" s="94" t="s">
        <v>528</v>
      </c>
      <c r="D118" s="98">
        <v>5630</v>
      </c>
    </row>
    <row r="119" spans="1:4">
      <c r="A119" s="94" t="s">
        <v>529</v>
      </c>
      <c r="B119" s="94" t="s">
        <v>530</v>
      </c>
      <c r="C119" s="94" t="s">
        <v>531</v>
      </c>
      <c r="D119" s="98">
        <v>5562</v>
      </c>
    </row>
    <row r="120" spans="1:4">
      <c r="A120" s="94" t="s">
        <v>532</v>
      </c>
      <c r="B120" s="94" t="s">
        <v>532</v>
      </c>
      <c r="C120" s="94" t="s">
        <v>533</v>
      </c>
      <c r="D120" s="98">
        <v>5555</v>
      </c>
    </row>
    <row r="121" spans="1:4">
      <c r="A121" s="94" t="s">
        <v>534</v>
      </c>
      <c r="B121" s="94" t="s">
        <v>534</v>
      </c>
      <c r="C121" s="94" t="s">
        <v>535</v>
      </c>
      <c r="D121" s="98">
        <v>5561</v>
      </c>
    </row>
    <row r="122" spans="1:4">
      <c r="A122" s="94" t="s">
        <v>536</v>
      </c>
      <c r="B122" s="94" t="s">
        <v>536</v>
      </c>
      <c r="C122" s="94" t="s">
        <v>537</v>
      </c>
      <c r="D122" s="98">
        <v>5586</v>
      </c>
    </row>
    <row r="123" spans="1:4">
      <c r="A123" s="94" t="s">
        <v>538</v>
      </c>
      <c r="B123" s="94" t="s">
        <v>539</v>
      </c>
      <c r="C123" s="94" t="s">
        <v>540</v>
      </c>
      <c r="D123" s="98">
        <v>5556</v>
      </c>
    </row>
    <row r="124" spans="1:4">
      <c r="A124" s="94" t="s">
        <v>541</v>
      </c>
      <c r="B124" s="94" t="s">
        <v>541</v>
      </c>
      <c r="C124" s="94" t="s">
        <v>542</v>
      </c>
      <c r="D124" s="98" t="s">
        <v>770</v>
      </c>
    </row>
    <row r="125" spans="1:4">
      <c r="A125" s="94" t="s">
        <v>543</v>
      </c>
      <c r="B125" s="94" t="s">
        <v>543</v>
      </c>
      <c r="C125" s="94" t="s">
        <v>544</v>
      </c>
      <c r="D125" s="98">
        <v>5673</v>
      </c>
    </row>
    <row r="126" spans="1:4">
      <c r="A126" s="94" t="s">
        <v>545</v>
      </c>
      <c r="B126" s="94" t="s">
        <v>545</v>
      </c>
      <c r="C126" s="94" t="s">
        <v>546</v>
      </c>
      <c r="D126" s="98">
        <v>5609</v>
      </c>
    </row>
    <row r="127" spans="1:4">
      <c r="A127" s="94" t="s">
        <v>547</v>
      </c>
      <c r="B127" s="94" t="s">
        <v>547</v>
      </c>
      <c r="C127" s="94" t="s">
        <v>548</v>
      </c>
      <c r="D127" s="98">
        <v>5397</v>
      </c>
    </row>
    <row r="128" spans="1:4">
      <c r="A128" s="94" t="s">
        <v>549</v>
      </c>
      <c r="B128" s="94" t="s">
        <v>549</v>
      </c>
      <c r="C128" s="94" t="s">
        <v>550</v>
      </c>
      <c r="D128" s="98">
        <v>5484</v>
      </c>
    </row>
    <row r="129" spans="1:4">
      <c r="A129" s="94" t="s">
        <v>551</v>
      </c>
      <c r="B129" s="94" t="s">
        <v>551</v>
      </c>
      <c r="C129" s="94" t="s">
        <v>552</v>
      </c>
      <c r="D129" s="98">
        <v>5612</v>
      </c>
    </row>
    <row r="130" spans="1:4">
      <c r="A130" s="94" t="s">
        <v>553</v>
      </c>
      <c r="B130" s="94" t="s">
        <v>553</v>
      </c>
      <c r="C130" s="94" t="s">
        <v>554</v>
      </c>
      <c r="D130" s="98">
        <v>5672</v>
      </c>
    </row>
    <row r="131" spans="1:4">
      <c r="A131" s="94" t="s">
        <v>555</v>
      </c>
      <c r="B131" s="94" t="s">
        <v>555</v>
      </c>
      <c r="C131" s="94" t="s">
        <v>556</v>
      </c>
      <c r="D131" s="98">
        <v>3385</v>
      </c>
    </row>
    <row r="132" spans="1:4">
      <c r="A132" s="94" t="s">
        <v>557</v>
      </c>
      <c r="B132" s="94" t="s">
        <v>558</v>
      </c>
      <c r="C132" s="94" t="s">
        <v>559</v>
      </c>
      <c r="D132" s="98">
        <v>3882</v>
      </c>
    </row>
    <row r="133" spans="1:4">
      <c r="A133" s="94" t="s">
        <v>560</v>
      </c>
      <c r="B133" s="94" t="s">
        <v>560</v>
      </c>
      <c r="C133" s="94" t="s">
        <v>561</v>
      </c>
      <c r="D133" s="98">
        <v>3887</v>
      </c>
    </row>
    <row r="134" spans="1:4">
      <c r="A134" s="94" t="s">
        <v>562</v>
      </c>
      <c r="B134" s="94" t="s">
        <v>562</v>
      </c>
      <c r="C134" s="94" t="s">
        <v>563</v>
      </c>
      <c r="D134" s="98">
        <v>3841</v>
      </c>
    </row>
    <row r="135" spans="1:4">
      <c r="A135" s="94" t="s">
        <v>564</v>
      </c>
      <c r="B135" s="94" t="s">
        <v>564</v>
      </c>
      <c r="C135" s="94" t="s">
        <v>565</v>
      </c>
      <c r="D135" s="98">
        <v>3599</v>
      </c>
    </row>
    <row r="136" spans="1:4">
      <c r="A136" s="94" t="s">
        <v>566</v>
      </c>
      <c r="B136" s="94" t="s">
        <v>567</v>
      </c>
      <c r="C136" s="94" t="s">
        <v>568</v>
      </c>
      <c r="D136" s="98">
        <v>3610</v>
      </c>
    </row>
    <row r="137" spans="1:4">
      <c r="A137" s="94" t="s">
        <v>569</v>
      </c>
      <c r="B137" s="94" t="s">
        <v>570</v>
      </c>
      <c r="C137" s="94" t="s">
        <v>571</v>
      </c>
      <c r="D137" s="98">
        <v>3818</v>
      </c>
    </row>
    <row r="138" spans="1:4">
      <c r="A138" s="94" t="s">
        <v>572</v>
      </c>
      <c r="B138" s="94" t="s">
        <v>572</v>
      </c>
      <c r="C138" s="94" t="s">
        <v>573</v>
      </c>
      <c r="D138" s="98">
        <v>2088</v>
      </c>
    </row>
    <row r="139" spans="1:4">
      <c r="A139" s="94" t="s">
        <v>574</v>
      </c>
      <c r="B139" s="94" t="s">
        <v>575</v>
      </c>
      <c r="C139" s="94" t="s">
        <v>576</v>
      </c>
      <c r="D139" s="98">
        <v>3881</v>
      </c>
    </row>
    <row r="140" spans="1:4">
      <c r="A140" s="94" t="s">
        <v>577</v>
      </c>
      <c r="B140" s="94" t="s">
        <v>578</v>
      </c>
      <c r="C140" s="94" t="s">
        <v>579</v>
      </c>
      <c r="D140" s="98">
        <v>3616</v>
      </c>
    </row>
    <row r="141" spans="1:4">
      <c r="A141" s="94" t="s">
        <v>580</v>
      </c>
      <c r="B141" s="94" t="s">
        <v>581</v>
      </c>
      <c r="C141" s="94" t="s">
        <v>582</v>
      </c>
      <c r="D141" s="98">
        <v>3421</v>
      </c>
    </row>
    <row r="142" spans="1:4">
      <c r="A142" s="94" t="s">
        <v>583</v>
      </c>
      <c r="B142" s="94" t="s">
        <v>583</v>
      </c>
      <c r="C142" s="94" t="s">
        <v>584</v>
      </c>
      <c r="D142" s="98">
        <v>3888</v>
      </c>
    </row>
    <row r="143" spans="1:4">
      <c r="A143" s="94" t="s">
        <v>585</v>
      </c>
      <c r="B143" s="94" t="s">
        <v>586</v>
      </c>
      <c r="C143" s="94" t="s">
        <v>587</v>
      </c>
      <c r="D143" s="98">
        <v>3622</v>
      </c>
    </row>
    <row r="144" spans="1:4">
      <c r="A144" s="94" t="s">
        <v>588</v>
      </c>
      <c r="B144" s="94" t="s">
        <v>589</v>
      </c>
      <c r="C144" s="94" t="s">
        <v>590</v>
      </c>
      <c r="D144" s="98">
        <v>3416</v>
      </c>
    </row>
    <row r="145" spans="1:4">
      <c r="A145" s="95" t="s">
        <v>591</v>
      </c>
      <c r="B145" s="94" t="s">
        <v>591</v>
      </c>
      <c r="C145" s="94" t="s">
        <v>592</v>
      </c>
      <c r="D145" s="99">
        <v>2834</v>
      </c>
    </row>
    <row r="146" spans="1:4">
      <c r="A146" s="96" t="s">
        <v>591</v>
      </c>
      <c r="B146" s="96" t="s">
        <v>591</v>
      </c>
      <c r="C146" s="97" t="s">
        <v>592</v>
      </c>
      <c r="D146" s="100">
        <v>3300</v>
      </c>
    </row>
    <row r="147" spans="1:4">
      <c r="A147" s="94" t="s">
        <v>593</v>
      </c>
      <c r="B147" s="94" t="s">
        <v>593</v>
      </c>
      <c r="C147" s="94" t="s">
        <v>594</v>
      </c>
      <c r="D147" s="98">
        <v>3620</v>
      </c>
    </row>
    <row r="148" spans="1:4">
      <c r="A148" s="94" t="s">
        <v>595</v>
      </c>
      <c r="B148" s="94" t="s">
        <v>596</v>
      </c>
      <c r="C148" s="94" t="s">
        <v>597</v>
      </c>
      <c r="D148" s="98">
        <v>3868</v>
      </c>
    </row>
    <row r="149" spans="1:4">
      <c r="A149" s="94" t="s">
        <v>598</v>
      </c>
      <c r="B149" s="94" t="s">
        <v>598</v>
      </c>
      <c r="C149" s="94" t="s">
        <v>599</v>
      </c>
      <c r="D149" s="98">
        <v>3578</v>
      </c>
    </row>
    <row r="150" spans="1:4">
      <c r="A150" s="94" t="s">
        <v>600</v>
      </c>
      <c r="B150" s="94" t="s">
        <v>600</v>
      </c>
      <c r="C150" s="94" t="s">
        <v>601</v>
      </c>
      <c r="D150" s="98">
        <v>3835</v>
      </c>
    </row>
    <row r="151" spans="1:4">
      <c r="A151" s="94" t="s">
        <v>602</v>
      </c>
      <c r="B151" s="94" t="s">
        <v>602</v>
      </c>
      <c r="C151" s="94" t="s">
        <v>603</v>
      </c>
      <c r="D151" s="98">
        <v>3080</v>
      </c>
    </row>
    <row r="152" spans="1:4">
      <c r="A152" s="94" t="s">
        <v>604</v>
      </c>
      <c r="B152" s="94" t="s">
        <v>604</v>
      </c>
      <c r="C152" s="94" t="s">
        <v>605</v>
      </c>
      <c r="D152" s="98" t="s">
        <v>771</v>
      </c>
    </row>
    <row r="153" spans="1:4">
      <c r="A153" s="94" t="s">
        <v>606</v>
      </c>
      <c r="B153" s="94" t="s">
        <v>607</v>
      </c>
      <c r="C153" s="94" t="s">
        <v>608</v>
      </c>
      <c r="D153" s="98" t="s">
        <v>772</v>
      </c>
    </row>
    <row r="154" spans="1:4">
      <c r="A154" s="94" t="s">
        <v>609</v>
      </c>
      <c r="B154" s="94" t="s">
        <v>610</v>
      </c>
      <c r="C154" s="94" t="s">
        <v>611</v>
      </c>
      <c r="D154" s="98">
        <v>1458</v>
      </c>
    </row>
    <row r="155" spans="1:4">
      <c r="A155" s="94" t="s">
        <v>612</v>
      </c>
      <c r="B155" s="94" t="s">
        <v>612</v>
      </c>
      <c r="C155" s="94" t="s">
        <v>613</v>
      </c>
      <c r="D155" s="98">
        <v>1453</v>
      </c>
    </row>
    <row r="156" spans="1:4">
      <c r="A156" s="94" t="s">
        <v>614</v>
      </c>
      <c r="B156" s="94" t="s">
        <v>614</v>
      </c>
      <c r="C156" s="94" t="s">
        <v>615</v>
      </c>
      <c r="D156" s="98">
        <v>4249</v>
      </c>
    </row>
    <row r="157" spans="1:4">
      <c r="A157" s="94" t="s">
        <v>616</v>
      </c>
      <c r="B157" s="94" t="s">
        <v>617</v>
      </c>
      <c r="C157" s="94" t="s">
        <v>618</v>
      </c>
      <c r="D157" s="98" t="s">
        <v>773</v>
      </c>
    </row>
    <row r="158" spans="1:4">
      <c r="A158" s="94" t="s">
        <v>619</v>
      </c>
      <c r="B158" s="94" t="s">
        <v>619</v>
      </c>
      <c r="C158" s="94" t="s">
        <v>620</v>
      </c>
      <c r="D158" s="98" t="s">
        <v>774</v>
      </c>
    </row>
    <row r="159" spans="1:4">
      <c r="A159" s="94" t="s">
        <v>621</v>
      </c>
      <c r="B159" s="94" t="s">
        <v>621</v>
      </c>
      <c r="C159" s="94" t="s">
        <v>622</v>
      </c>
      <c r="D159" s="98" t="s">
        <v>775</v>
      </c>
    </row>
    <row r="160" spans="1:4">
      <c r="A160" s="94" t="s">
        <v>623</v>
      </c>
      <c r="B160" s="94" t="s">
        <v>623</v>
      </c>
      <c r="C160" s="94" t="s">
        <v>624</v>
      </c>
      <c r="D160" s="98">
        <v>1421</v>
      </c>
    </row>
    <row r="161" spans="1:4">
      <c r="A161" s="94" t="s">
        <v>625</v>
      </c>
      <c r="B161" s="94" t="s">
        <v>626</v>
      </c>
      <c r="C161" s="94" t="s">
        <v>627</v>
      </c>
      <c r="D161" s="98">
        <v>1422</v>
      </c>
    </row>
    <row r="162" spans="1:4">
      <c r="A162" s="94" t="s">
        <v>628</v>
      </c>
      <c r="B162" s="94" t="s">
        <v>628</v>
      </c>
      <c r="C162" s="94" t="s">
        <v>629</v>
      </c>
      <c r="D162" s="98" t="s">
        <v>776</v>
      </c>
    </row>
    <row r="163" spans="1:4">
      <c r="A163" s="94" t="s">
        <v>630</v>
      </c>
      <c r="B163" s="94" t="s">
        <v>631</v>
      </c>
      <c r="C163" s="94" t="s">
        <v>632</v>
      </c>
      <c r="D163" s="98" t="s">
        <v>777</v>
      </c>
    </row>
    <row r="164" spans="1:4">
      <c r="A164" s="94" t="s">
        <v>633</v>
      </c>
      <c r="B164" s="94" t="s">
        <v>633</v>
      </c>
      <c r="C164" s="94" t="s">
        <v>634</v>
      </c>
      <c r="D164" s="98" t="s">
        <v>778</v>
      </c>
    </row>
    <row r="165" spans="1:4">
      <c r="A165" s="94" t="s">
        <v>635</v>
      </c>
      <c r="B165" s="94" t="s">
        <v>635</v>
      </c>
      <c r="C165" s="94" t="s">
        <v>636</v>
      </c>
      <c r="D165" s="98" t="s">
        <v>779</v>
      </c>
    </row>
    <row r="166" spans="1:4">
      <c r="A166" s="94" t="s">
        <v>637</v>
      </c>
      <c r="B166" s="94" t="s">
        <v>637</v>
      </c>
      <c r="C166" s="94" t="s">
        <v>638</v>
      </c>
      <c r="D166" s="98" t="s">
        <v>780</v>
      </c>
    </row>
    <row r="167" spans="1:4">
      <c r="A167" s="94" t="s">
        <v>639</v>
      </c>
      <c r="B167" s="94" t="s">
        <v>640</v>
      </c>
      <c r="C167" s="94" t="s">
        <v>641</v>
      </c>
      <c r="D167" s="98" t="s">
        <v>781</v>
      </c>
    </row>
    <row r="168" spans="1:4">
      <c r="A168" s="94" t="s">
        <v>642</v>
      </c>
      <c r="B168" s="94" t="s">
        <v>643</v>
      </c>
      <c r="C168" s="94" t="s">
        <v>644</v>
      </c>
      <c r="D168" s="98" t="s">
        <v>782</v>
      </c>
    </row>
    <row r="169" spans="1:4">
      <c r="A169" s="94" t="s">
        <v>645</v>
      </c>
      <c r="B169" s="94" t="s">
        <v>646</v>
      </c>
      <c r="C169" s="94" t="s">
        <v>647</v>
      </c>
      <c r="D169" s="98" t="s">
        <v>783</v>
      </c>
    </row>
    <row r="170" spans="1:4">
      <c r="A170" s="94" t="s">
        <v>648</v>
      </c>
      <c r="B170" s="94" t="s">
        <v>649</v>
      </c>
      <c r="C170" s="94" t="s">
        <v>650</v>
      </c>
      <c r="D170" s="98" t="s">
        <v>784</v>
      </c>
    </row>
    <row r="171" spans="1:4">
      <c r="A171" s="94" t="s">
        <v>651</v>
      </c>
      <c r="B171" s="94" t="s">
        <v>652</v>
      </c>
      <c r="C171" s="94" t="s">
        <v>653</v>
      </c>
      <c r="D171" s="98" t="s">
        <v>785</v>
      </c>
    </row>
    <row r="172" spans="1:4">
      <c r="A172" s="94" t="s">
        <v>654</v>
      </c>
      <c r="B172" s="94" t="s">
        <v>655</v>
      </c>
      <c r="C172" s="94" t="s">
        <v>656</v>
      </c>
      <c r="D172" s="98">
        <v>4053</v>
      </c>
    </row>
    <row r="173" spans="1:4">
      <c r="A173" s="94" t="s">
        <v>657</v>
      </c>
      <c r="B173" s="94" t="s">
        <v>657</v>
      </c>
      <c r="C173" s="94" t="s">
        <v>658</v>
      </c>
      <c r="D173" s="98" t="s">
        <v>786</v>
      </c>
    </row>
    <row r="174" spans="1:4">
      <c r="A174" s="94" t="s">
        <v>659</v>
      </c>
      <c r="B174" s="94" t="s">
        <v>659</v>
      </c>
      <c r="C174" s="94" t="s">
        <v>660</v>
      </c>
      <c r="D174" s="98">
        <v>1386</v>
      </c>
    </row>
    <row r="175" spans="1:4">
      <c r="A175" s="94" t="s">
        <v>661</v>
      </c>
      <c r="B175" s="94" t="s">
        <v>661</v>
      </c>
      <c r="C175" s="94" t="s">
        <v>662</v>
      </c>
      <c r="D175" s="98">
        <v>1335</v>
      </c>
    </row>
    <row r="176" spans="1:4">
      <c r="A176" s="94" t="s">
        <v>663</v>
      </c>
      <c r="B176" s="94" t="s">
        <v>663</v>
      </c>
      <c r="C176" s="94" t="s">
        <v>664</v>
      </c>
      <c r="D176" s="98">
        <v>1308</v>
      </c>
    </row>
    <row r="177" spans="1:4">
      <c r="A177" s="94" t="s">
        <v>665</v>
      </c>
      <c r="B177" s="94" t="s">
        <v>666</v>
      </c>
      <c r="C177" s="94" t="s">
        <v>667</v>
      </c>
      <c r="D177" s="98">
        <v>1404</v>
      </c>
    </row>
    <row r="178" spans="1:4">
      <c r="A178" s="94" t="s">
        <v>668</v>
      </c>
      <c r="B178" s="94" t="s">
        <v>669</v>
      </c>
      <c r="C178" s="94" t="s">
        <v>670</v>
      </c>
      <c r="D178" s="98">
        <v>3833</v>
      </c>
    </row>
    <row r="179" spans="1:4">
      <c r="A179" s="94" t="s">
        <v>671</v>
      </c>
      <c r="B179" s="94" t="s">
        <v>672</v>
      </c>
      <c r="C179" s="94" t="s">
        <v>673</v>
      </c>
      <c r="D179" s="98">
        <v>6355</v>
      </c>
    </row>
    <row r="180" spans="1:4">
      <c r="A180" s="94" t="s">
        <v>674</v>
      </c>
      <c r="B180" s="94" t="s">
        <v>675</v>
      </c>
      <c r="C180" s="94" t="s">
        <v>676</v>
      </c>
      <c r="D180" s="98" t="s">
        <v>787</v>
      </c>
    </row>
    <row r="181" spans="1:4">
      <c r="A181" s="94" t="s">
        <v>677</v>
      </c>
      <c r="B181" s="94" t="s">
        <v>677</v>
      </c>
      <c r="C181" s="94" t="s">
        <v>678</v>
      </c>
      <c r="D181" s="98">
        <v>2925</v>
      </c>
    </row>
    <row r="182" spans="1:4">
      <c r="A182" s="94" t="s">
        <v>679</v>
      </c>
      <c r="B182" s="94" t="s">
        <v>680</v>
      </c>
      <c r="C182" s="94" t="s">
        <v>681</v>
      </c>
      <c r="D182" s="98">
        <v>2872</v>
      </c>
    </row>
    <row r="183" spans="1:4">
      <c r="A183" s="94" t="s">
        <v>682</v>
      </c>
      <c r="B183" s="94" t="s">
        <v>682</v>
      </c>
      <c r="C183" s="94" t="s">
        <v>683</v>
      </c>
      <c r="D183" s="98">
        <v>1324</v>
      </c>
    </row>
    <row r="184" spans="1:4">
      <c r="A184" s="94" t="s">
        <v>684</v>
      </c>
      <c r="B184" s="94" t="s">
        <v>684</v>
      </c>
      <c r="C184" s="94" t="s">
        <v>685</v>
      </c>
      <c r="D184" s="98">
        <v>2816</v>
      </c>
    </row>
    <row r="185" spans="1:4">
      <c r="A185" s="94" t="s">
        <v>686</v>
      </c>
      <c r="B185" s="94" t="s">
        <v>686</v>
      </c>
      <c r="C185" s="94" t="s">
        <v>687</v>
      </c>
      <c r="D185" s="98">
        <v>2937</v>
      </c>
    </row>
    <row r="186" spans="1:4">
      <c r="A186" s="94" t="s">
        <v>688</v>
      </c>
      <c r="B186" s="94" t="s">
        <v>689</v>
      </c>
      <c r="C186" s="94" t="s">
        <v>690</v>
      </c>
      <c r="D186" s="98">
        <v>2880</v>
      </c>
    </row>
    <row r="187" spans="1:4">
      <c r="A187" s="94" t="s">
        <v>691</v>
      </c>
      <c r="B187" s="94" t="s">
        <v>692</v>
      </c>
      <c r="C187" s="94" t="s">
        <v>693</v>
      </c>
      <c r="D187" s="98">
        <v>2948</v>
      </c>
    </row>
    <row r="188" spans="1:4">
      <c r="A188" s="94" t="s">
        <v>694</v>
      </c>
      <c r="B188" s="94" t="s">
        <v>695</v>
      </c>
      <c r="C188" s="94" t="s">
        <v>696</v>
      </c>
      <c r="D188" s="98">
        <v>2728</v>
      </c>
    </row>
    <row r="189" spans="1:4">
      <c r="A189" s="94" t="s">
        <v>697</v>
      </c>
      <c r="B189" s="94" t="s">
        <v>697</v>
      </c>
      <c r="C189" s="94" t="s">
        <v>698</v>
      </c>
      <c r="D189" s="98">
        <v>2907</v>
      </c>
    </row>
    <row r="190" spans="1:4">
      <c r="A190" s="94" t="s">
        <v>699</v>
      </c>
      <c r="B190" s="94" t="s">
        <v>699</v>
      </c>
      <c r="C190" s="94" t="s">
        <v>700</v>
      </c>
      <c r="D190" s="98">
        <v>2900</v>
      </c>
    </row>
    <row r="191" spans="1:4">
      <c r="A191" s="94" t="s">
        <v>701</v>
      </c>
      <c r="B191" s="94" t="s">
        <v>701</v>
      </c>
      <c r="C191" s="94" t="s">
        <v>702</v>
      </c>
      <c r="D191" s="98">
        <v>2949</v>
      </c>
    </row>
    <row r="192" spans="1:4">
      <c r="A192" s="94" t="s">
        <v>703</v>
      </c>
      <c r="B192" s="94" t="s">
        <v>703</v>
      </c>
      <c r="C192" s="94" t="s">
        <v>704</v>
      </c>
      <c r="D192" s="98">
        <v>2947</v>
      </c>
    </row>
    <row r="193" spans="1:4">
      <c r="A193" s="94" t="s">
        <v>705</v>
      </c>
      <c r="B193" s="94" t="s">
        <v>705</v>
      </c>
      <c r="C193" s="94" t="s">
        <v>706</v>
      </c>
      <c r="D193" s="98">
        <v>2892</v>
      </c>
    </row>
    <row r="194" spans="1:4">
      <c r="A194" s="94" t="s">
        <v>707</v>
      </c>
      <c r="B194" s="94" t="s">
        <v>708</v>
      </c>
      <c r="C194" s="94" t="s">
        <v>709</v>
      </c>
      <c r="D194" s="98">
        <v>2912</v>
      </c>
    </row>
    <row r="195" spans="1:4">
      <c r="A195" s="94" t="s">
        <v>710</v>
      </c>
      <c r="B195" s="94" t="s">
        <v>710</v>
      </c>
      <c r="C195" s="94" t="s">
        <v>711</v>
      </c>
      <c r="D195" s="98">
        <v>2870</v>
      </c>
    </row>
    <row r="196" spans="1:4">
      <c r="A196" s="94" t="s">
        <v>712</v>
      </c>
      <c r="B196" s="94" t="s">
        <v>712</v>
      </c>
      <c r="C196" s="94" t="s">
        <v>713</v>
      </c>
      <c r="D196" s="98">
        <v>2905</v>
      </c>
    </row>
    <row r="197" spans="1:4">
      <c r="A197" s="94" t="s">
        <v>714</v>
      </c>
      <c r="B197" s="94" t="s">
        <v>714</v>
      </c>
      <c r="C197" s="94" t="s">
        <v>715</v>
      </c>
      <c r="D197" s="98">
        <v>2893</v>
      </c>
    </row>
    <row r="198" spans="1:4">
      <c r="A198" s="94" t="s">
        <v>716</v>
      </c>
      <c r="B198" s="94" t="s">
        <v>716</v>
      </c>
      <c r="C198" s="94" t="s">
        <v>717</v>
      </c>
      <c r="D198" s="98">
        <v>2819</v>
      </c>
    </row>
    <row r="199" spans="1:4">
      <c r="A199" s="94" t="s">
        <v>718</v>
      </c>
      <c r="B199" s="94" t="s">
        <v>718</v>
      </c>
      <c r="C199" s="94" t="s">
        <v>717</v>
      </c>
      <c r="D199" s="98">
        <v>2896</v>
      </c>
    </row>
    <row r="200" spans="1:4">
      <c r="A200" s="94" t="s">
        <v>719</v>
      </c>
      <c r="B200" s="94" t="s">
        <v>719</v>
      </c>
      <c r="C200" s="94" t="s">
        <v>720</v>
      </c>
      <c r="D200" s="98">
        <v>2911</v>
      </c>
    </row>
    <row r="201" spans="1:4">
      <c r="A201" s="94" t="s">
        <v>721</v>
      </c>
      <c r="B201" s="94" t="s">
        <v>722</v>
      </c>
      <c r="C201" s="94" t="s">
        <v>723</v>
      </c>
      <c r="D201" s="98">
        <v>6636</v>
      </c>
    </row>
    <row r="202" spans="1:4">
      <c r="A202" s="94" t="s">
        <v>724</v>
      </c>
      <c r="B202" s="94" t="s">
        <v>724</v>
      </c>
      <c r="C202" s="94" t="s">
        <v>725</v>
      </c>
      <c r="D202" s="98">
        <v>4893</v>
      </c>
    </row>
    <row r="203" spans="1:4">
      <c r="A203" s="94" t="s">
        <v>726</v>
      </c>
      <c r="B203" s="94" t="s">
        <v>726</v>
      </c>
      <c r="C203" s="94" t="s">
        <v>727</v>
      </c>
      <c r="D203" s="98">
        <v>4288</v>
      </c>
    </row>
    <row r="204" spans="1:4">
      <c r="A204" s="94" t="s">
        <v>728</v>
      </c>
      <c r="B204" s="94" t="s">
        <v>729</v>
      </c>
      <c r="C204" s="94" t="s">
        <v>730</v>
      </c>
      <c r="D204" s="98">
        <v>4484</v>
      </c>
    </row>
    <row r="205" spans="1:4">
      <c r="A205" s="94" t="s">
        <v>731</v>
      </c>
      <c r="B205" s="94" t="s">
        <v>731</v>
      </c>
      <c r="C205" s="94" t="s">
        <v>732</v>
      </c>
      <c r="D205" s="98">
        <v>4493</v>
      </c>
    </row>
    <row r="206" spans="1:4">
      <c r="A206" s="94" t="s">
        <v>733</v>
      </c>
      <c r="B206" s="94" t="s">
        <v>734</v>
      </c>
      <c r="C206" s="94" t="s">
        <v>735</v>
      </c>
      <c r="D206" s="98">
        <v>4894</v>
      </c>
    </row>
    <row r="207" spans="1:4">
      <c r="A207" s="94" t="s">
        <v>736</v>
      </c>
      <c r="B207" s="94" t="s">
        <v>736</v>
      </c>
      <c r="C207" s="94" t="s">
        <v>737</v>
      </c>
      <c r="D207" s="98">
        <v>6350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Y93"/>
  <sheetViews>
    <sheetView topLeftCell="A19" zoomScale="70" workbookViewId="0">
      <selection activeCell="EU47" sqref="EU47"/>
    </sheetView>
  </sheetViews>
  <sheetFormatPr defaultRowHeight="13.5"/>
  <cols>
    <col min="1" max="150" width="1.625" customWidth="1"/>
    <col min="151" max="151" width="20.625" customWidth="1"/>
    <col min="152" max="152" width="3.875" customWidth="1"/>
  </cols>
  <sheetData>
    <row r="1" spans="2:155" ht="20.100000000000001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39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39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</row>
    <row r="2" spans="2:155" ht="39.950000000000003" customHeight="1" thickBot="1"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647" t="s">
        <v>152</v>
      </c>
      <c r="BC2" s="647"/>
      <c r="BD2" s="647"/>
      <c r="BE2" s="647"/>
      <c r="BF2" s="647"/>
      <c r="BG2" s="647"/>
      <c r="BH2" s="647"/>
      <c r="BI2" s="647"/>
      <c r="BJ2" s="647"/>
      <c r="BK2" s="647"/>
      <c r="BL2" s="647"/>
      <c r="BM2" s="647"/>
      <c r="BN2" s="647"/>
      <c r="BO2" s="647"/>
      <c r="BP2" s="647"/>
      <c r="BQ2" s="647"/>
      <c r="BR2" s="647"/>
      <c r="BS2" s="647"/>
      <c r="BT2" s="647"/>
      <c r="BU2" s="647"/>
      <c r="BV2" s="647"/>
      <c r="BW2" s="647"/>
      <c r="BX2" s="64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W2" s="48" t="s">
        <v>198</v>
      </c>
      <c r="EX2" s="48" t="s">
        <v>197</v>
      </c>
      <c r="EY2" s="48" t="s">
        <v>2</v>
      </c>
    </row>
    <row r="3" spans="2:155" ht="20.100000000000001" customHeight="1" thickTop="1" thickBot="1">
      <c r="B3" s="622" t="s">
        <v>3</v>
      </c>
      <c r="C3" s="623"/>
      <c r="D3" s="623"/>
      <c r="E3" s="623"/>
      <c r="F3" s="623"/>
      <c r="G3" s="623"/>
      <c r="H3" s="623"/>
      <c r="I3" s="623"/>
      <c r="J3" s="623"/>
      <c r="K3" s="624"/>
      <c r="L3" s="625"/>
      <c r="M3" s="626"/>
      <c r="N3" s="626"/>
      <c r="O3" s="626"/>
      <c r="P3" s="626"/>
      <c r="Q3" s="626"/>
      <c r="R3" s="626"/>
      <c r="S3" s="627"/>
      <c r="T3" s="617" t="s">
        <v>1</v>
      </c>
      <c r="U3" s="618"/>
      <c r="V3" s="618"/>
      <c r="W3" s="618"/>
      <c r="X3" s="619"/>
      <c r="Y3" s="599"/>
      <c r="Z3" s="600"/>
      <c r="AA3" s="600"/>
      <c r="AB3" s="600"/>
      <c r="AC3" s="600"/>
      <c r="AD3" s="600"/>
      <c r="AE3" s="600"/>
      <c r="AF3" s="600"/>
      <c r="AG3" s="600"/>
      <c r="AH3" s="600"/>
      <c r="AI3" s="600"/>
      <c r="AJ3" s="600"/>
      <c r="AK3" s="600"/>
      <c r="AL3" s="600"/>
      <c r="AM3" s="600"/>
      <c r="AN3" s="600"/>
      <c r="AO3" s="600"/>
      <c r="AP3" s="601"/>
      <c r="AQ3" s="606" t="s">
        <v>0</v>
      </c>
      <c r="AR3" s="607"/>
      <c r="AS3" s="607"/>
      <c r="AT3" s="607"/>
      <c r="AU3" s="608"/>
      <c r="AV3" s="599"/>
      <c r="AW3" s="609"/>
      <c r="AX3" s="609"/>
      <c r="AY3" s="609"/>
      <c r="AZ3" s="609"/>
      <c r="BA3" s="609"/>
      <c r="BB3" s="609"/>
      <c r="BC3" s="609"/>
      <c r="BD3" s="609"/>
      <c r="BE3" s="609"/>
      <c r="BF3" s="609"/>
      <c r="BG3" s="609"/>
      <c r="BH3" s="609"/>
      <c r="BI3" s="609"/>
      <c r="BJ3" s="609"/>
      <c r="BK3" s="609"/>
      <c r="BL3" s="609"/>
      <c r="BM3" s="609"/>
      <c r="BN3" s="609"/>
      <c r="BO3" s="609"/>
      <c r="BP3" s="609"/>
      <c r="BQ3" s="610"/>
      <c r="BR3" s="606" t="s">
        <v>13</v>
      </c>
      <c r="BS3" s="607"/>
      <c r="BT3" s="607"/>
      <c r="BU3" s="607"/>
      <c r="BV3" s="608"/>
      <c r="BW3" s="599"/>
      <c r="BX3" s="609"/>
      <c r="BY3" s="609"/>
      <c r="BZ3" s="609"/>
      <c r="CA3" s="609"/>
      <c r="CB3" s="609"/>
      <c r="CC3" s="609"/>
      <c r="CD3" s="609"/>
      <c r="CE3" s="609"/>
      <c r="CF3" s="609"/>
      <c r="CG3" s="609"/>
      <c r="CH3" s="610"/>
      <c r="CI3" s="538" t="s">
        <v>2</v>
      </c>
      <c r="CJ3" s="539"/>
      <c r="CK3" s="607"/>
      <c r="CL3" s="607"/>
      <c r="CM3" s="608"/>
      <c r="CN3" s="599"/>
      <c r="CO3" s="609"/>
      <c r="CP3" s="609"/>
      <c r="CQ3" s="609"/>
      <c r="CR3" s="609"/>
      <c r="CS3" s="609"/>
      <c r="CT3" s="609"/>
      <c r="CU3" s="610"/>
      <c r="CV3" s="6"/>
      <c r="CW3" s="7"/>
      <c r="CX3" s="7"/>
      <c r="CY3" s="7"/>
      <c r="CZ3" s="8"/>
      <c r="DA3" s="606" t="s">
        <v>48</v>
      </c>
      <c r="DB3" s="607"/>
      <c r="DC3" s="607"/>
      <c r="DD3" s="607"/>
      <c r="DE3" s="608"/>
      <c r="DF3" s="654"/>
      <c r="DG3" s="655"/>
      <c r="DH3" s="655"/>
      <c r="DI3" s="655"/>
      <c r="DJ3" s="655"/>
      <c r="DK3" s="655"/>
      <c r="DL3" s="655"/>
      <c r="DM3" s="656"/>
      <c r="DN3" s="606" t="s">
        <v>168</v>
      </c>
      <c r="DO3" s="607"/>
      <c r="DP3" s="607"/>
      <c r="DQ3" s="607"/>
      <c r="DR3" s="608"/>
      <c r="DS3" s="651"/>
      <c r="DT3" s="652"/>
      <c r="DU3" s="652"/>
      <c r="DV3" s="652"/>
      <c r="DW3" s="652"/>
      <c r="DX3" s="652"/>
      <c r="DY3" s="652"/>
      <c r="DZ3" s="653"/>
      <c r="EU3" s="38" t="s">
        <v>152</v>
      </c>
      <c r="EW3" t="s">
        <v>106</v>
      </c>
      <c r="EX3" t="s">
        <v>147</v>
      </c>
      <c r="EY3" t="s">
        <v>153</v>
      </c>
    </row>
    <row r="4" spans="2:155" ht="20.100000000000001" customHeight="1">
      <c r="B4" s="538" t="s">
        <v>12</v>
      </c>
      <c r="C4" s="566"/>
      <c r="D4" s="566"/>
      <c r="E4" s="566"/>
      <c r="F4" s="567"/>
      <c r="G4" s="9"/>
      <c r="H4" s="10"/>
      <c r="I4" s="11"/>
      <c r="J4" s="12"/>
      <c r="K4" s="12"/>
      <c r="L4" s="12"/>
      <c r="M4" s="615" t="s">
        <v>14</v>
      </c>
      <c r="N4" s="603"/>
      <c r="O4" s="603"/>
      <c r="P4" s="603"/>
      <c r="Q4" s="621"/>
      <c r="R4" s="621"/>
      <c r="S4" s="603" t="s">
        <v>15</v>
      </c>
      <c r="T4" s="490"/>
      <c r="U4" s="490"/>
      <c r="V4" s="506"/>
      <c r="W4" s="12"/>
      <c r="X4" s="21"/>
      <c r="Y4" s="21"/>
      <c r="Z4" s="21"/>
      <c r="AA4" s="22"/>
      <c r="AB4" s="22"/>
      <c r="AC4" s="22"/>
      <c r="AD4" s="537"/>
      <c r="AE4" s="537"/>
      <c r="AF4" s="537"/>
      <c r="AG4" s="537"/>
      <c r="AH4" s="537"/>
      <c r="AI4" s="537"/>
      <c r="AJ4" s="537"/>
      <c r="AK4" s="537"/>
      <c r="AL4" s="537"/>
      <c r="AM4" s="537"/>
      <c r="AN4" s="537"/>
      <c r="AO4" s="537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23"/>
      <c r="BG4" s="22"/>
      <c r="BH4" s="22"/>
      <c r="BI4" s="22"/>
      <c r="BJ4" s="22"/>
      <c r="BK4" s="22"/>
      <c r="BL4" s="22"/>
      <c r="BM4" s="22"/>
      <c r="BN4" s="12"/>
      <c r="BO4" s="12"/>
      <c r="BP4" s="12"/>
      <c r="BQ4" s="12"/>
      <c r="BR4" s="12"/>
      <c r="BS4" s="12"/>
      <c r="BT4" s="12"/>
      <c r="BU4" s="24"/>
      <c r="BV4" s="12"/>
      <c r="BW4" s="474" t="s">
        <v>56</v>
      </c>
      <c r="BX4" s="475"/>
      <c r="BY4" s="475"/>
      <c r="BZ4" s="475"/>
      <c r="CA4" s="476"/>
      <c r="CB4" s="648"/>
      <c r="CC4" s="649"/>
      <c r="CD4" s="649"/>
      <c r="CE4" s="649"/>
      <c r="CF4" s="649"/>
      <c r="CG4" s="650"/>
      <c r="CH4" s="632"/>
      <c r="CI4" s="633"/>
      <c r="CJ4" s="634"/>
      <c r="CK4" s="27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576" t="s">
        <v>68</v>
      </c>
      <c r="DO4" s="640"/>
      <c r="DP4" s="640"/>
      <c r="DQ4" s="640"/>
      <c r="DR4" s="641"/>
      <c r="DS4" s="494"/>
      <c r="DT4" s="495"/>
      <c r="DU4" s="495"/>
      <c r="DV4" s="495"/>
      <c r="DW4" s="495"/>
      <c r="DX4" s="495"/>
      <c r="DY4" s="495"/>
      <c r="DZ4" s="496"/>
      <c r="EU4" s="38" t="s">
        <v>136</v>
      </c>
      <c r="EW4" t="s">
        <v>146</v>
      </c>
      <c r="EX4" t="s">
        <v>113</v>
      </c>
      <c r="EY4" t="s">
        <v>154</v>
      </c>
    </row>
    <row r="5" spans="2:155" ht="20.100000000000001" customHeight="1">
      <c r="B5" s="568"/>
      <c r="C5" s="569"/>
      <c r="D5" s="569"/>
      <c r="E5" s="569"/>
      <c r="F5" s="570"/>
      <c r="G5" s="612" t="s">
        <v>7</v>
      </c>
      <c r="H5" s="613"/>
      <c r="I5" s="613"/>
      <c r="J5" s="613"/>
      <c r="K5" s="613"/>
      <c r="L5" s="614"/>
      <c r="M5" s="620"/>
      <c r="N5" s="555"/>
      <c r="O5" s="555"/>
      <c r="P5" s="555"/>
      <c r="Q5" s="616" t="s">
        <v>71</v>
      </c>
      <c r="R5" s="616"/>
      <c r="S5" s="555"/>
      <c r="T5" s="555"/>
      <c r="U5" s="555"/>
      <c r="V5" s="604"/>
      <c r="W5" s="12"/>
      <c r="X5" s="628"/>
      <c r="Y5" s="628"/>
      <c r="Z5" s="628"/>
      <c r="AA5" s="628"/>
      <c r="AB5" s="628"/>
      <c r="AC5" s="629"/>
      <c r="AD5" s="630" t="s">
        <v>16</v>
      </c>
      <c r="AE5" s="630"/>
      <c r="AF5" s="630"/>
      <c r="AG5" s="630" t="s">
        <v>17</v>
      </c>
      <c r="AH5" s="630"/>
      <c r="AI5" s="630"/>
      <c r="AJ5" s="630" t="s">
        <v>18</v>
      </c>
      <c r="AK5" s="630"/>
      <c r="AL5" s="630"/>
      <c r="AM5" s="630" t="s">
        <v>72</v>
      </c>
      <c r="AN5" s="630"/>
      <c r="AO5" s="630"/>
      <c r="AP5" s="12"/>
      <c r="AQ5" s="474" t="s">
        <v>36</v>
      </c>
      <c r="AR5" s="475"/>
      <c r="AS5" s="475"/>
      <c r="AT5" s="475"/>
      <c r="AU5" s="476"/>
      <c r="AV5" s="483"/>
      <c r="AW5" s="470"/>
      <c r="AX5" s="470"/>
      <c r="AY5" s="483"/>
      <c r="AZ5" s="470"/>
      <c r="BA5" s="470"/>
      <c r="BB5" s="470"/>
      <c r="BC5" s="470"/>
      <c r="BD5" s="484"/>
      <c r="BE5" s="12"/>
      <c r="BF5" s="25"/>
      <c r="BG5" s="474" t="s">
        <v>39</v>
      </c>
      <c r="BH5" s="475"/>
      <c r="BI5" s="475"/>
      <c r="BJ5" s="475"/>
      <c r="BK5" s="475"/>
      <c r="BL5" s="476"/>
      <c r="BM5" s="483"/>
      <c r="BN5" s="470"/>
      <c r="BO5" s="470"/>
      <c r="BP5" s="470"/>
      <c r="BQ5" s="470"/>
      <c r="BR5" s="470"/>
      <c r="BS5" s="470"/>
      <c r="BT5" s="484"/>
      <c r="BU5" s="26"/>
      <c r="BV5" s="12"/>
      <c r="BW5" s="630" t="s">
        <v>57</v>
      </c>
      <c r="BX5" s="630"/>
      <c r="BY5" s="630"/>
      <c r="BZ5" s="630"/>
      <c r="CA5" s="630"/>
      <c r="CB5" s="642"/>
      <c r="CC5" s="643"/>
      <c r="CD5" s="643"/>
      <c r="CE5" s="643"/>
      <c r="CF5" s="643"/>
      <c r="CG5" s="644"/>
      <c r="CH5" s="483"/>
      <c r="CI5" s="470"/>
      <c r="CJ5" s="484"/>
      <c r="CK5" s="28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637" t="s">
        <v>195</v>
      </c>
      <c r="CW5" s="637"/>
      <c r="CX5" s="637"/>
      <c r="CY5" s="637"/>
      <c r="CZ5" s="638">
        <v>11</v>
      </c>
      <c r="DA5" s="638"/>
      <c r="DB5" s="638"/>
      <c r="DC5" s="639" t="s">
        <v>194</v>
      </c>
      <c r="DD5" s="639"/>
      <c r="DE5" s="639"/>
      <c r="DF5" s="639"/>
      <c r="DG5" s="639"/>
      <c r="DH5" s="47"/>
      <c r="DI5" s="47"/>
      <c r="DJ5" s="47"/>
      <c r="DK5" s="12"/>
      <c r="DL5" s="12"/>
      <c r="DM5" s="12"/>
      <c r="DN5" s="474" t="s">
        <v>68</v>
      </c>
      <c r="DO5" s="475"/>
      <c r="DP5" s="475"/>
      <c r="DQ5" s="475"/>
      <c r="DR5" s="476"/>
      <c r="DS5" s="497"/>
      <c r="DT5" s="498"/>
      <c r="DU5" s="498"/>
      <c r="DV5" s="498"/>
      <c r="DW5" s="498"/>
      <c r="DX5" s="498"/>
      <c r="DY5" s="498"/>
      <c r="DZ5" s="499"/>
      <c r="EU5" t="s">
        <v>80</v>
      </c>
      <c r="EW5" t="s">
        <v>196</v>
      </c>
      <c r="EX5" t="s">
        <v>111</v>
      </c>
      <c r="EY5" t="s">
        <v>155</v>
      </c>
    </row>
    <row r="6" spans="2:155" ht="20.100000000000001" customHeight="1" thickBot="1">
      <c r="B6" s="568"/>
      <c r="C6" s="569"/>
      <c r="D6" s="569"/>
      <c r="E6" s="569"/>
      <c r="F6" s="570"/>
      <c r="G6" s="612" t="s">
        <v>8</v>
      </c>
      <c r="H6" s="475"/>
      <c r="I6" s="475"/>
      <c r="J6" s="613"/>
      <c r="K6" s="613"/>
      <c r="L6" s="614"/>
      <c r="M6" s="483"/>
      <c r="N6" s="470"/>
      <c r="O6" s="470"/>
      <c r="P6" s="470"/>
      <c r="Q6" s="602" t="s">
        <v>73</v>
      </c>
      <c r="R6" s="602"/>
      <c r="S6" s="470"/>
      <c r="T6" s="470"/>
      <c r="U6" s="470"/>
      <c r="V6" s="484"/>
      <c r="W6" s="12"/>
      <c r="X6" s="474" t="s">
        <v>9</v>
      </c>
      <c r="Y6" s="475"/>
      <c r="Z6" s="475"/>
      <c r="AA6" s="475"/>
      <c r="AB6" s="475"/>
      <c r="AC6" s="476"/>
      <c r="AD6" s="483"/>
      <c r="AE6" s="470"/>
      <c r="AF6" s="484"/>
      <c r="AG6" s="483"/>
      <c r="AH6" s="470"/>
      <c r="AI6" s="484"/>
      <c r="AJ6" s="483"/>
      <c r="AK6" s="470"/>
      <c r="AL6" s="484"/>
      <c r="AM6" s="483"/>
      <c r="AN6" s="470"/>
      <c r="AO6" s="484"/>
      <c r="AP6" s="12"/>
      <c r="AQ6" s="485" t="s">
        <v>37</v>
      </c>
      <c r="AR6" s="485"/>
      <c r="AS6" s="485"/>
      <c r="AT6" s="485"/>
      <c r="AU6" s="485"/>
      <c r="AV6" s="532"/>
      <c r="AW6" s="533"/>
      <c r="AX6" s="534"/>
      <c r="AY6" s="477" t="s">
        <v>38</v>
      </c>
      <c r="AZ6" s="478"/>
      <c r="BA6" s="478"/>
      <c r="BB6" s="478"/>
      <c r="BC6" s="478"/>
      <c r="BD6" s="479"/>
      <c r="BE6" s="12"/>
      <c r="BF6" s="25"/>
      <c r="BG6" s="480" t="s">
        <v>11</v>
      </c>
      <c r="BH6" s="481"/>
      <c r="BI6" s="481"/>
      <c r="BJ6" s="481"/>
      <c r="BK6" s="481"/>
      <c r="BL6" s="482"/>
      <c r="BM6" s="532"/>
      <c r="BN6" s="533"/>
      <c r="BO6" s="533"/>
      <c r="BP6" s="533"/>
      <c r="BQ6" s="533"/>
      <c r="BR6" s="533"/>
      <c r="BS6" s="533"/>
      <c r="BT6" s="534"/>
      <c r="BU6" s="26"/>
      <c r="BV6" s="12"/>
      <c r="BW6" s="474" t="s">
        <v>58</v>
      </c>
      <c r="BX6" s="475"/>
      <c r="BY6" s="475"/>
      <c r="BZ6" s="475"/>
      <c r="CA6" s="476"/>
      <c r="CB6" s="642"/>
      <c r="CC6" s="643"/>
      <c r="CD6" s="643"/>
      <c r="CE6" s="643"/>
      <c r="CF6" s="643"/>
      <c r="CG6" s="644"/>
      <c r="CH6" s="483"/>
      <c r="CI6" s="470"/>
      <c r="CJ6" s="484"/>
      <c r="CK6" s="28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474" t="s">
        <v>68</v>
      </c>
      <c r="DO6" s="475"/>
      <c r="DP6" s="475"/>
      <c r="DQ6" s="475"/>
      <c r="DR6" s="476"/>
      <c r="DS6" s="497"/>
      <c r="DT6" s="498"/>
      <c r="DU6" s="498"/>
      <c r="DV6" s="498"/>
      <c r="DW6" s="498"/>
      <c r="DX6" s="498"/>
      <c r="DY6" s="498"/>
      <c r="DZ6" s="499"/>
      <c r="EU6" t="s">
        <v>137</v>
      </c>
      <c r="EX6" t="s">
        <v>148</v>
      </c>
      <c r="EY6" t="s">
        <v>156</v>
      </c>
    </row>
    <row r="7" spans="2:155" ht="20.100000000000001" customHeight="1" thickBot="1">
      <c r="B7" s="560"/>
      <c r="C7" s="561"/>
      <c r="D7" s="561"/>
      <c r="E7" s="561"/>
      <c r="F7" s="611"/>
      <c r="G7" s="13"/>
      <c r="H7" s="14"/>
      <c r="I7" s="14"/>
      <c r="J7" s="15"/>
      <c r="K7" s="15"/>
      <c r="L7" s="15"/>
      <c r="M7" s="10"/>
      <c r="N7" s="10"/>
      <c r="O7" s="10"/>
      <c r="P7" s="10"/>
      <c r="Q7" s="16"/>
      <c r="R7" s="16"/>
      <c r="S7" s="10"/>
      <c r="T7" s="10"/>
      <c r="U7" s="10"/>
      <c r="V7" s="10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2"/>
      <c r="BF7" s="17"/>
      <c r="BG7" s="18"/>
      <c r="BH7" s="18"/>
      <c r="BI7" s="18"/>
      <c r="BJ7" s="18"/>
      <c r="BK7" s="18"/>
      <c r="BL7" s="18"/>
      <c r="BM7" s="19"/>
      <c r="BN7" s="19"/>
      <c r="BO7" s="19"/>
      <c r="BP7" s="19"/>
      <c r="BQ7" s="19"/>
      <c r="BR7" s="19"/>
      <c r="BS7" s="19"/>
      <c r="BT7" s="19"/>
      <c r="BU7" s="20"/>
      <c r="BV7" s="12"/>
      <c r="BW7" s="485" t="s">
        <v>59</v>
      </c>
      <c r="BX7" s="485"/>
      <c r="BY7" s="485"/>
      <c r="BZ7" s="485"/>
      <c r="CA7" s="485"/>
      <c r="CB7" s="486"/>
      <c r="CC7" s="487"/>
      <c r="CD7" s="487"/>
      <c r="CE7" s="487"/>
      <c r="CF7" s="487"/>
      <c r="CG7" s="488"/>
      <c r="CH7" s="532"/>
      <c r="CI7" s="533"/>
      <c r="CJ7" s="534"/>
      <c r="CK7" s="29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477" t="s">
        <v>68</v>
      </c>
      <c r="DO7" s="478"/>
      <c r="DP7" s="478"/>
      <c r="DQ7" s="478"/>
      <c r="DR7" s="479"/>
      <c r="DS7" s="500"/>
      <c r="DT7" s="501"/>
      <c r="DU7" s="501"/>
      <c r="DV7" s="501"/>
      <c r="DW7" s="501"/>
      <c r="DX7" s="501"/>
      <c r="DY7" s="501"/>
      <c r="DZ7" s="502"/>
      <c r="EU7" t="s">
        <v>138</v>
      </c>
      <c r="EY7" t="s">
        <v>157</v>
      </c>
    </row>
    <row r="8" spans="2:155" ht="20.100000000000001" customHeight="1">
      <c r="B8" s="538" t="s">
        <v>25</v>
      </c>
      <c r="C8" s="566"/>
      <c r="D8" s="566"/>
      <c r="E8" s="566"/>
      <c r="F8" s="567"/>
      <c r="G8" s="575" t="s">
        <v>20</v>
      </c>
      <c r="H8" s="507"/>
      <c r="I8" s="507"/>
      <c r="J8" s="576"/>
      <c r="K8" s="512" t="s">
        <v>19</v>
      </c>
      <c r="L8" s="512"/>
      <c r="M8" s="512"/>
      <c r="N8" s="512"/>
      <c r="O8" s="512" t="s">
        <v>21</v>
      </c>
      <c r="P8" s="512"/>
      <c r="Q8" s="512"/>
      <c r="R8" s="512"/>
      <c r="S8" s="512" t="s">
        <v>22</v>
      </c>
      <c r="T8" s="512"/>
      <c r="U8" s="512"/>
      <c r="V8" s="512"/>
      <c r="W8" s="512"/>
      <c r="X8" s="512"/>
      <c r="Y8" s="512"/>
      <c r="Z8" s="493" t="s">
        <v>6</v>
      </c>
      <c r="AA8" s="577"/>
      <c r="AB8" s="577"/>
      <c r="AC8" s="577"/>
      <c r="AD8" s="577"/>
      <c r="AE8" s="577"/>
      <c r="AF8" s="577"/>
      <c r="AG8" s="512" t="s">
        <v>24</v>
      </c>
      <c r="AH8" s="512"/>
      <c r="AI8" s="512"/>
      <c r="AJ8" s="512"/>
      <c r="AK8" s="512" t="s">
        <v>23</v>
      </c>
      <c r="AL8" s="512"/>
      <c r="AM8" s="512"/>
      <c r="AN8" s="512"/>
      <c r="AO8" s="512"/>
      <c r="AP8" s="512"/>
      <c r="AQ8" s="512"/>
      <c r="AR8" s="512"/>
      <c r="AS8" s="489" t="s">
        <v>26</v>
      </c>
      <c r="AT8" s="490"/>
      <c r="AU8" s="490"/>
      <c r="AV8" s="490"/>
      <c r="AW8" s="490"/>
      <c r="AX8" s="491"/>
      <c r="AY8" s="489" t="s">
        <v>27</v>
      </c>
      <c r="AZ8" s="535"/>
      <c r="BA8" s="535"/>
      <c r="BB8" s="535"/>
      <c r="BC8" s="535"/>
      <c r="BD8" s="535"/>
      <c r="BE8" s="535"/>
      <c r="BF8" s="535"/>
      <c r="BG8" s="536"/>
      <c r="BH8" s="489" t="s">
        <v>169</v>
      </c>
      <c r="BI8" s="490"/>
      <c r="BJ8" s="491"/>
      <c r="BK8" s="492" t="s">
        <v>170</v>
      </c>
      <c r="BL8" s="492"/>
      <c r="BM8" s="493"/>
      <c r="BN8" s="493"/>
      <c r="BO8" s="493"/>
      <c r="BP8" s="493"/>
      <c r="BQ8" s="493"/>
      <c r="BR8" s="493"/>
      <c r="BS8" s="493"/>
      <c r="BT8" s="493" t="s">
        <v>30</v>
      </c>
      <c r="BU8" s="493"/>
      <c r="BV8" s="493"/>
      <c r="BW8" s="493"/>
      <c r="BX8" s="493" t="s">
        <v>31</v>
      </c>
      <c r="BY8" s="493"/>
      <c r="BZ8" s="493"/>
      <c r="CA8" s="493"/>
      <c r="CB8" s="493" t="s">
        <v>28</v>
      </c>
      <c r="CC8" s="493"/>
      <c r="CD8" s="493"/>
      <c r="CE8" s="493"/>
      <c r="CF8" s="493" t="s">
        <v>29</v>
      </c>
      <c r="CG8" s="493"/>
      <c r="CH8" s="492"/>
      <c r="CI8" s="492"/>
      <c r="CJ8" s="492"/>
      <c r="CK8" s="493"/>
      <c r="CL8" s="493"/>
      <c r="CM8" s="493"/>
      <c r="CN8" s="493"/>
      <c r="CO8" s="493"/>
      <c r="CP8" s="493"/>
      <c r="CQ8" s="512" t="s">
        <v>32</v>
      </c>
      <c r="CR8" s="512"/>
      <c r="CS8" s="512"/>
      <c r="CT8" s="512"/>
      <c r="CU8" s="512"/>
      <c r="CV8" s="512"/>
      <c r="CW8" s="512" t="s">
        <v>33</v>
      </c>
      <c r="CX8" s="512"/>
      <c r="CY8" s="512"/>
      <c r="CZ8" s="512"/>
      <c r="DA8" s="512"/>
      <c r="DB8" s="512"/>
      <c r="DC8" s="512"/>
      <c r="DD8" s="512"/>
      <c r="DE8" s="512"/>
      <c r="DF8" s="489"/>
      <c r="DG8" s="516" t="s">
        <v>35</v>
      </c>
      <c r="DH8" s="512"/>
      <c r="DI8" s="512"/>
      <c r="DJ8" s="512"/>
      <c r="DK8" s="512"/>
      <c r="DL8" s="512" t="s">
        <v>34</v>
      </c>
      <c r="DM8" s="512"/>
      <c r="DN8" s="512"/>
      <c r="DO8" s="512"/>
      <c r="DP8" s="512"/>
      <c r="DQ8" s="512" t="s">
        <v>4</v>
      </c>
      <c r="DR8" s="512"/>
      <c r="DS8" s="512"/>
      <c r="DT8" s="512"/>
      <c r="DU8" s="512"/>
      <c r="DV8" s="506" t="s">
        <v>5</v>
      </c>
      <c r="DW8" s="507"/>
      <c r="DX8" s="507"/>
      <c r="DY8" s="507"/>
      <c r="DZ8" s="508"/>
      <c r="EU8" t="s">
        <v>150</v>
      </c>
      <c r="EY8" t="s">
        <v>158</v>
      </c>
    </row>
    <row r="9" spans="2:155" ht="20.100000000000001" customHeight="1">
      <c r="B9" s="568"/>
      <c r="C9" s="569"/>
      <c r="D9" s="569"/>
      <c r="E9" s="569"/>
      <c r="F9" s="570"/>
      <c r="G9" s="554"/>
      <c r="H9" s="555"/>
      <c r="I9" s="555"/>
      <c r="J9" s="555"/>
      <c r="K9" s="472"/>
      <c r="L9" s="472"/>
      <c r="M9" s="472"/>
      <c r="N9" s="472"/>
      <c r="O9" s="472"/>
      <c r="P9" s="472"/>
      <c r="Q9" s="472"/>
      <c r="R9" s="40" t="s">
        <v>171</v>
      </c>
      <c r="S9" s="472"/>
      <c r="T9" s="472"/>
      <c r="U9" s="40" t="s">
        <v>172</v>
      </c>
      <c r="V9" s="41" t="s">
        <v>173</v>
      </c>
      <c r="W9" s="472"/>
      <c r="X9" s="472"/>
      <c r="Y9" s="40" t="s">
        <v>172</v>
      </c>
      <c r="Z9" s="472"/>
      <c r="AA9" s="472"/>
      <c r="AB9" s="472"/>
      <c r="AC9" s="472"/>
      <c r="AD9" s="472"/>
      <c r="AE9" s="472"/>
      <c r="AF9" s="472"/>
      <c r="AG9" s="41" t="s">
        <v>173</v>
      </c>
      <c r="AH9" s="472"/>
      <c r="AI9" s="472"/>
      <c r="AJ9" s="472"/>
      <c r="AK9" s="472"/>
      <c r="AL9" s="472"/>
      <c r="AM9" s="472"/>
      <c r="AN9" s="472"/>
      <c r="AO9" s="472"/>
      <c r="AP9" s="472"/>
      <c r="AQ9" s="472"/>
      <c r="AR9" s="472"/>
      <c r="AS9" s="469"/>
      <c r="AT9" s="470"/>
      <c r="AU9" s="470"/>
      <c r="AV9" s="470"/>
      <c r="AW9" s="470"/>
      <c r="AX9" s="471"/>
      <c r="AY9" s="469"/>
      <c r="AZ9" s="470"/>
      <c r="BA9" s="470"/>
      <c r="BB9" s="470"/>
      <c r="BC9" s="470"/>
      <c r="BD9" s="470"/>
      <c r="BE9" s="470"/>
      <c r="BF9" s="470"/>
      <c r="BG9" s="471"/>
      <c r="BH9" s="469"/>
      <c r="BI9" s="470"/>
      <c r="BJ9" s="471"/>
      <c r="BK9" s="472"/>
      <c r="BL9" s="472"/>
      <c r="BM9" s="472"/>
      <c r="BN9" s="472"/>
      <c r="BO9" s="472"/>
      <c r="BP9" s="472"/>
      <c r="BQ9" s="472"/>
      <c r="BR9" s="472"/>
      <c r="BS9" s="472"/>
      <c r="BT9" s="472"/>
      <c r="BU9" s="472"/>
      <c r="BV9" s="472"/>
      <c r="BW9" s="472"/>
      <c r="BX9" s="469"/>
      <c r="BY9" s="470"/>
      <c r="BZ9" s="471"/>
      <c r="CA9" s="42" t="s">
        <v>174</v>
      </c>
      <c r="CB9" s="41" t="s">
        <v>173</v>
      </c>
      <c r="CC9" s="472"/>
      <c r="CD9" s="472"/>
      <c r="CE9" s="472"/>
      <c r="CF9" s="469"/>
      <c r="CG9" s="470"/>
      <c r="CH9" s="470"/>
      <c r="CI9" s="471"/>
      <c r="CJ9" s="469"/>
      <c r="CK9" s="470"/>
      <c r="CL9" s="470"/>
      <c r="CM9" s="470"/>
      <c r="CN9" s="470"/>
      <c r="CO9" s="470"/>
      <c r="CP9" s="471"/>
      <c r="CQ9" s="472"/>
      <c r="CR9" s="472"/>
      <c r="CS9" s="472"/>
      <c r="CT9" s="472"/>
      <c r="CU9" s="472"/>
      <c r="CV9" s="472"/>
      <c r="CW9" s="472"/>
      <c r="CX9" s="472"/>
      <c r="CY9" s="472"/>
      <c r="CZ9" s="472"/>
      <c r="DA9" s="472"/>
      <c r="DB9" s="472"/>
      <c r="DC9" s="472"/>
      <c r="DD9" s="472"/>
      <c r="DE9" s="472"/>
      <c r="DF9" s="509"/>
      <c r="DG9" s="510"/>
      <c r="DH9" s="511"/>
      <c r="DI9" s="511"/>
      <c r="DJ9" s="511"/>
      <c r="DK9" s="511"/>
      <c r="DL9" s="511"/>
      <c r="DM9" s="511"/>
      <c r="DN9" s="511"/>
      <c r="DO9" s="511"/>
      <c r="DP9" s="511"/>
      <c r="DQ9" s="511"/>
      <c r="DR9" s="511"/>
      <c r="DS9" s="511"/>
      <c r="DT9" s="511"/>
      <c r="DU9" s="511"/>
      <c r="DV9" s="579"/>
      <c r="DW9" s="579"/>
      <c r="DX9" s="579"/>
      <c r="DY9" s="579"/>
      <c r="DZ9" s="580"/>
      <c r="EU9" t="s">
        <v>175</v>
      </c>
      <c r="EY9" t="s">
        <v>159</v>
      </c>
    </row>
    <row r="10" spans="2:155" ht="20.100000000000001" customHeight="1">
      <c r="B10" s="568"/>
      <c r="C10" s="569"/>
      <c r="D10" s="569"/>
      <c r="E10" s="569"/>
      <c r="F10" s="570"/>
      <c r="G10" s="554"/>
      <c r="H10" s="555"/>
      <c r="I10" s="555"/>
      <c r="J10" s="555"/>
      <c r="K10" s="472"/>
      <c r="L10" s="472"/>
      <c r="M10" s="472"/>
      <c r="N10" s="472"/>
      <c r="O10" s="472"/>
      <c r="P10" s="472"/>
      <c r="Q10" s="472"/>
      <c r="R10" s="43" t="s">
        <v>171</v>
      </c>
      <c r="S10" s="472"/>
      <c r="T10" s="472"/>
      <c r="U10" s="43" t="s">
        <v>172</v>
      </c>
      <c r="V10" s="44" t="s">
        <v>173</v>
      </c>
      <c r="W10" s="578"/>
      <c r="X10" s="578"/>
      <c r="Y10" s="43" t="s">
        <v>172</v>
      </c>
      <c r="Z10" s="472"/>
      <c r="AA10" s="472"/>
      <c r="AB10" s="472"/>
      <c r="AC10" s="472"/>
      <c r="AD10" s="472"/>
      <c r="AE10" s="472"/>
      <c r="AF10" s="472"/>
      <c r="AG10" s="44" t="s">
        <v>173</v>
      </c>
      <c r="AH10" s="472"/>
      <c r="AI10" s="472"/>
      <c r="AJ10" s="472"/>
      <c r="AK10" s="472"/>
      <c r="AL10" s="472"/>
      <c r="AM10" s="472"/>
      <c r="AN10" s="472"/>
      <c r="AO10" s="472"/>
      <c r="AP10" s="472"/>
      <c r="AQ10" s="472"/>
      <c r="AR10" s="472"/>
      <c r="AS10" s="469"/>
      <c r="AT10" s="470"/>
      <c r="AU10" s="470"/>
      <c r="AV10" s="470"/>
      <c r="AW10" s="470"/>
      <c r="AX10" s="471"/>
      <c r="AY10" s="469"/>
      <c r="AZ10" s="470"/>
      <c r="BA10" s="470"/>
      <c r="BB10" s="470"/>
      <c r="BC10" s="470"/>
      <c r="BD10" s="470"/>
      <c r="BE10" s="470"/>
      <c r="BF10" s="470"/>
      <c r="BG10" s="471"/>
      <c r="BH10" s="469"/>
      <c r="BI10" s="470"/>
      <c r="BJ10" s="471"/>
      <c r="BK10" s="472"/>
      <c r="BL10" s="472"/>
      <c r="BM10" s="472"/>
      <c r="BN10" s="472"/>
      <c r="BO10" s="472"/>
      <c r="BP10" s="472"/>
      <c r="BQ10" s="472"/>
      <c r="BR10" s="472"/>
      <c r="BS10" s="472"/>
      <c r="BT10" s="472"/>
      <c r="BU10" s="472"/>
      <c r="BV10" s="472"/>
      <c r="BW10" s="472"/>
      <c r="BX10" s="469"/>
      <c r="BY10" s="470"/>
      <c r="BZ10" s="471"/>
      <c r="CA10" s="42" t="s">
        <v>174</v>
      </c>
      <c r="CB10" s="44" t="s">
        <v>173</v>
      </c>
      <c r="CC10" s="472"/>
      <c r="CD10" s="472"/>
      <c r="CE10" s="472"/>
      <c r="CF10" s="469"/>
      <c r="CG10" s="470"/>
      <c r="CH10" s="470"/>
      <c r="CI10" s="471"/>
      <c r="CJ10" s="469"/>
      <c r="CK10" s="470"/>
      <c r="CL10" s="470"/>
      <c r="CM10" s="470"/>
      <c r="CN10" s="470"/>
      <c r="CO10" s="470"/>
      <c r="CP10" s="471"/>
      <c r="CQ10" s="472"/>
      <c r="CR10" s="472"/>
      <c r="CS10" s="472"/>
      <c r="CT10" s="472"/>
      <c r="CU10" s="472"/>
      <c r="CV10" s="472"/>
      <c r="CW10" s="472"/>
      <c r="CX10" s="472"/>
      <c r="CY10" s="472"/>
      <c r="CZ10" s="472"/>
      <c r="DA10" s="472"/>
      <c r="DB10" s="472"/>
      <c r="DC10" s="472"/>
      <c r="DD10" s="472"/>
      <c r="DE10" s="472"/>
      <c r="DF10" s="509"/>
      <c r="DG10" s="510"/>
      <c r="DH10" s="511"/>
      <c r="DI10" s="511"/>
      <c r="DJ10" s="511"/>
      <c r="DK10" s="511"/>
      <c r="DL10" s="511"/>
      <c r="DM10" s="511"/>
      <c r="DN10" s="511"/>
      <c r="DO10" s="511"/>
      <c r="DP10" s="511"/>
      <c r="DQ10" s="511"/>
      <c r="DR10" s="511"/>
      <c r="DS10" s="511"/>
      <c r="DT10" s="511"/>
      <c r="DU10" s="511"/>
      <c r="DV10" s="579"/>
      <c r="DW10" s="579"/>
      <c r="DX10" s="579"/>
      <c r="DY10" s="579"/>
      <c r="DZ10" s="580"/>
      <c r="EU10" t="s">
        <v>176</v>
      </c>
      <c r="EY10" t="s">
        <v>160</v>
      </c>
    </row>
    <row r="11" spans="2:155" ht="20.100000000000001" customHeight="1">
      <c r="B11" s="568"/>
      <c r="C11" s="569"/>
      <c r="D11" s="569"/>
      <c r="E11" s="569"/>
      <c r="F11" s="570"/>
      <c r="G11" s="554"/>
      <c r="H11" s="555"/>
      <c r="I11" s="555"/>
      <c r="J11" s="555"/>
      <c r="K11" s="472"/>
      <c r="L11" s="472"/>
      <c r="M11" s="472"/>
      <c r="N11" s="472"/>
      <c r="O11" s="472"/>
      <c r="P11" s="472"/>
      <c r="Q11" s="472"/>
      <c r="R11" s="43" t="s">
        <v>171</v>
      </c>
      <c r="S11" s="472"/>
      <c r="T11" s="472"/>
      <c r="U11" s="43" t="s">
        <v>172</v>
      </c>
      <c r="V11" s="44" t="s">
        <v>173</v>
      </c>
      <c r="W11" s="578"/>
      <c r="X11" s="578"/>
      <c r="Y11" s="43" t="s">
        <v>172</v>
      </c>
      <c r="Z11" s="472"/>
      <c r="AA11" s="472"/>
      <c r="AB11" s="472"/>
      <c r="AC11" s="472"/>
      <c r="AD11" s="472"/>
      <c r="AE11" s="472"/>
      <c r="AF11" s="472"/>
      <c r="AG11" s="44" t="s">
        <v>173</v>
      </c>
      <c r="AH11" s="472"/>
      <c r="AI11" s="472"/>
      <c r="AJ11" s="472"/>
      <c r="AK11" s="472"/>
      <c r="AL11" s="472"/>
      <c r="AM11" s="472"/>
      <c r="AN11" s="472"/>
      <c r="AO11" s="472"/>
      <c r="AP11" s="472"/>
      <c r="AQ11" s="472"/>
      <c r="AR11" s="472"/>
      <c r="AS11" s="469"/>
      <c r="AT11" s="470"/>
      <c r="AU11" s="470"/>
      <c r="AV11" s="470"/>
      <c r="AW11" s="470"/>
      <c r="AX11" s="471"/>
      <c r="AY11" s="469"/>
      <c r="AZ11" s="470"/>
      <c r="BA11" s="470"/>
      <c r="BB11" s="470"/>
      <c r="BC11" s="470"/>
      <c r="BD11" s="470"/>
      <c r="BE11" s="470"/>
      <c r="BF11" s="470"/>
      <c r="BG11" s="471"/>
      <c r="BH11" s="469"/>
      <c r="BI11" s="470"/>
      <c r="BJ11" s="471"/>
      <c r="BK11" s="472"/>
      <c r="BL11" s="472"/>
      <c r="BM11" s="472"/>
      <c r="BN11" s="472"/>
      <c r="BO11" s="472"/>
      <c r="BP11" s="472"/>
      <c r="BQ11" s="472"/>
      <c r="BR11" s="472"/>
      <c r="BS11" s="472"/>
      <c r="BT11" s="472"/>
      <c r="BU11" s="472"/>
      <c r="BV11" s="472"/>
      <c r="BW11" s="472"/>
      <c r="BX11" s="469"/>
      <c r="BY11" s="470"/>
      <c r="BZ11" s="471"/>
      <c r="CA11" s="42" t="s">
        <v>174</v>
      </c>
      <c r="CB11" s="44" t="s">
        <v>173</v>
      </c>
      <c r="CC11" s="472"/>
      <c r="CD11" s="472"/>
      <c r="CE11" s="472"/>
      <c r="CF11" s="469"/>
      <c r="CG11" s="470"/>
      <c r="CH11" s="470"/>
      <c r="CI11" s="471"/>
      <c r="CJ11" s="469"/>
      <c r="CK11" s="470"/>
      <c r="CL11" s="470"/>
      <c r="CM11" s="470"/>
      <c r="CN11" s="470"/>
      <c r="CO11" s="470"/>
      <c r="CP11" s="471"/>
      <c r="CQ11" s="472"/>
      <c r="CR11" s="472"/>
      <c r="CS11" s="472"/>
      <c r="CT11" s="472"/>
      <c r="CU11" s="472"/>
      <c r="CV11" s="472"/>
      <c r="CW11" s="472"/>
      <c r="CX11" s="472"/>
      <c r="CY11" s="472"/>
      <c r="CZ11" s="472"/>
      <c r="DA11" s="472"/>
      <c r="DB11" s="472"/>
      <c r="DC11" s="472"/>
      <c r="DD11" s="472"/>
      <c r="DE11" s="472"/>
      <c r="DF11" s="509"/>
      <c r="DG11" s="510"/>
      <c r="DH11" s="511"/>
      <c r="DI11" s="511"/>
      <c r="DJ11" s="511"/>
      <c r="DK11" s="511"/>
      <c r="DL11" s="511"/>
      <c r="DM11" s="511"/>
      <c r="DN11" s="511"/>
      <c r="DO11" s="511"/>
      <c r="DP11" s="511"/>
      <c r="DQ11" s="511"/>
      <c r="DR11" s="511"/>
      <c r="DS11" s="511"/>
      <c r="DT11" s="511"/>
      <c r="DU11" s="511"/>
      <c r="DV11" s="579"/>
      <c r="DW11" s="579"/>
      <c r="DX11" s="579"/>
      <c r="DY11" s="579"/>
      <c r="DZ11" s="580"/>
      <c r="EU11" t="s">
        <v>82</v>
      </c>
      <c r="EW11" t="s">
        <v>151</v>
      </c>
      <c r="EY11" t="s">
        <v>161</v>
      </c>
    </row>
    <row r="12" spans="2:155" ht="20.100000000000001" customHeight="1">
      <c r="B12" s="568"/>
      <c r="C12" s="569"/>
      <c r="D12" s="569"/>
      <c r="E12" s="569"/>
      <c r="F12" s="570"/>
      <c r="G12" s="554"/>
      <c r="H12" s="555"/>
      <c r="I12" s="555"/>
      <c r="J12" s="555"/>
      <c r="K12" s="472"/>
      <c r="L12" s="472"/>
      <c r="M12" s="472"/>
      <c r="N12" s="472"/>
      <c r="O12" s="472"/>
      <c r="P12" s="472"/>
      <c r="Q12" s="472"/>
      <c r="R12" s="43" t="s">
        <v>177</v>
      </c>
      <c r="S12" s="472"/>
      <c r="T12" s="472"/>
      <c r="U12" s="43" t="s">
        <v>178</v>
      </c>
      <c r="V12" s="44" t="s">
        <v>179</v>
      </c>
      <c r="W12" s="578"/>
      <c r="X12" s="578"/>
      <c r="Y12" s="43" t="s">
        <v>178</v>
      </c>
      <c r="Z12" s="472"/>
      <c r="AA12" s="472"/>
      <c r="AB12" s="472"/>
      <c r="AC12" s="472"/>
      <c r="AD12" s="472"/>
      <c r="AE12" s="472"/>
      <c r="AF12" s="472"/>
      <c r="AG12" s="44" t="s">
        <v>179</v>
      </c>
      <c r="AH12" s="472"/>
      <c r="AI12" s="472"/>
      <c r="AJ12" s="472"/>
      <c r="AK12" s="472"/>
      <c r="AL12" s="472"/>
      <c r="AM12" s="472"/>
      <c r="AN12" s="472"/>
      <c r="AO12" s="472"/>
      <c r="AP12" s="472"/>
      <c r="AQ12" s="472"/>
      <c r="AR12" s="472"/>
      <c r="AS12" s="469"/>
      <c r="AT12" s="470"/>
      <c r="AU12" s="470"/>
      <c r="AV12" s="470"/>
      <c r="AW12" s="470"/>
      <c r="AX12" s="471"/>
      <c r="AY12" s="469"/>
      <c r="AZ12" s="470"/>
      <c r="BA12" s="470"/>
      <c r="BB12" s="470"/>
      <c r="BC12" s="470"/>
      <c r="BD12" s="470"/>
      <c r="BE12" s="470"/>
      <c r="BF12" s="470"/>
      <c r="BG12" s="471"/>
      <c r="BH12" s="469"/>
      <c r="BI12" s="470"/>
      <c r="BJ12" s="471"/>
      <c r="BK12" s="472"/>
      <c r="BL12" s="472"/>
      <c r="BM12" s="472"/>
      <c r="BN12" s="472"/>
      <c r="BO12" s="472"/>
      <c r="BP12" s="472"/>
      <c r="BQ12" s="472"/>
      <c r="BR12" s="472"/>
      <c r="BS12" s="472"/>
      <c r="BT12" s="472"/>
      <c r="BU12" s="472"/>
      <c r="BV12" s="472"/>
      <c r="BW12" s="472"/>
      <c r="BX12" s="469"/>
      <c r="BY12" s="470"/>
      <c r="BZ12" s="471"/>
      <c r="CA12" s="42" t="s">
        <v>180</v>
      </c>
      <c r="CB12" s="44" t="s">
        <v>179</v>
      </c>
      <c r="CC12" s="472"/>
      <c r="CD12" s="472"/>
      <c r="CE12" s="472"/>
      <c r="CF12" s="469"/>
      <c r="CG12" s="470"/>
      <c r="CH12" s="470"/>
      <c r="CI12" s="471"/>
      <c r="CJ12" s="469"/>
      <c r="CK12" s="470"/>
      <c r="CL12" s="470"/>
      <c r="CM12" s="470"/>
      <c r="CN12" s="470"/>
      <c r="CO12" s="470"/>
      <c r="CP12" s="471"/>
      <c r="CQ12" s="472"/>
      <c r="CR12" s="472"/>
      <c r="CS12" s="472"/>
      <c r="CT12" s="472"/>
      <c r="CU12" s="472"/>
      <c r="CV12" s="472"/>
      <c r="CW12" s="472"/>
      <c r="CX12" s="472"/>
      <c r="CY12" s="472"/>
      <c r="CZ12" s="472"/>
      <c r="DA12" s="472"/>
      <c r="DB12" s="472"/>
      <c r="DC12" s="472"/>
      <c r="DD12" s="472"/>
      <c r="DE12" s="472"/>
      <c r="DF12" s="509"/>
      <c r="DG12" s="510"/>
      <c r="DH12" s="511"/>
      <c r="DI12" s="511"/>
      <c r="DJ12" s="511"/>
      <c r="DK12" s="511"/>
      <c r="DL12" s="511"/>
      <c r="DM12" s="511"/>
      <c r="DN12" s="511"/>
      <c r="DO12" s="511"/>
      <c r="DP12" s="511"/>
      <c r="DQ12" s="511"/>
      <c r="DR12" s="511"/>
      <c r="DS12" s="511"/>
      <c r="DT12" s="511"/>
      <c r="DU12" s="511"/>
      <c r="DV12" s="579"/>
      <c r="DW12" s="579"/>
      <c r="DX12" s="579"/>
      <c r="DY12" s="579"/>
      <c r="DZ12" s="580"/>
      <c r="EU12" t="s">
        <v>139</v>
      </c>
      <c r="EY12" t="s">
        <v>162</v>
      </c>
    </row>
    <row r="13" spans="2:155" ht="20.100000000000001" customHeight="1">
      <c r="B13" s="568"/>
      <c r="C13" s="569"/>
      <c r="D13" s="569"/>
      <c r="E13" s="569"/>
      <c r="F13" s="570"/>
      <c r="G13" s="554"/>
      <c r="H13" s="555"/>
      <c r="I13" s="555"/>
      <c r="J13" s="555"/>
      <c r="K13" s="472"/>
      <c r="L13" s="472"/>
      <c r="M13" s="472"/>
      <c r="N13" s="472"/>
      <c r="O13" s="472"/>
      <c r="P13" s="472"/>
      <c r="Q13" s="472"/>
      <c r="R13" s="43" t="s">
        <v>171</v>
      </c>
      <c r="S13" s="472"/>
      <c r="T13" s="472"/>
      <c r="U13" s="43" t="s">
        <v>172</v>
      </c>
      <c r="V13" s="44" t="s">
        <v>173</v>
      </c>
      <c r="W13" s="578"/>
      <c r="X13" s="578"/>
      <c r="Y13" s="43" t="s">
        <v>172</v>
      </c>
      <c r="Z13" s="472"/>
      <c r="AA13" s="472"/>
      <c r="AB13" s="472"/>
      <c r="AC13" s="472"/>
      <c r="AD13" s="472"/>
      <c r="AE13" s="472"/>
      <c r="AF13" s="472"/>
      <c r="AG13" s="44" t="s">
        <v>173</v>
      </c>
      <c r="AH13" s="472"/>
      <c r="AI13" s="472"/>
      <c r="AJ13" s="472"/>
      <c r="AK13" s="472"/>
      <c r="AL13" s="472"/>
      <c r="AM13" s="472"/>
      <c r="AN13" s="472"/>
      <c r="AO13" s="472"/>
      <c r="AP13" s="472"/>
      <c r="AQ13" s="472"/>
      <c r="AR13" s="472"/>
      <c r="AS13" s="469"/>
      <c r="AT13" s="470"/>
      <c r="AU13" s="470"/>
      <c r="AV13" s="470"/>
      <c r="AW13" s="470"/>
      <c r="AX13" s="471"/>
      <c r="AY13" s="469"/>
      <c r="AZ13" s="470"/>
      <c r="BA13" s="470"/>
      <c r="BB13" s="470"/>
      <c r="BC13" s="470"/>
      <c r="BD13" s="470"/>
      <c r="BE13" s="470"/>
      <c r="BF13" s="470"/>
      <c r="BG13" s="471"/>
      <c r="BH13" s="469"/>
      <c r="BI13" s="470"/>
      <c r="BJ13" s="471"/>
      <c r="BK13" s="472"/>
      <c r="BL13" s="472"/>
      <c r="BM13" s="472"/>
      <c r="BN13" s="472"/>
      <c r="BO13" s="472"/>
      <c r="BP13" s="472"/>
      <c r="BQ13" s="472"/>
      <c r="BR13" s="472"/>
      <c r="BS13" s="472"/>
      <c r="BT13" s="472"/>
      <c r="BU13" s="472"/>
      <c r="BV13" s="472"/>
      <c r="BW13" s="472"/>
      <c r="BX13" s="469"/>
      <c r="BY13" s="470"/>
      <c r="BZ13" s="471"/>
      <c r="CA13" s="42" t="s">
        <v>174</v>
      </c>
      <c r="CB13" s="44" t="s">
        <v>173</v>
      </c>
      <c r="CC13" s="472"/>
      <c r="CD13" s="472"/>
      <c r="CE13" s="472"/>
      <c r="CF13" s="469"/>
      <c r="CG13" s="470"/>
      <c r="CH13" s="470"/>
      <c r="CI13" s="471"/>
      <c r="CJ13" s="469"/>
      <c r="CK13" s="470"/>
      <c r="CL13" s="470"/>
      <c r="CM13" s="470"/>
      <c r="CN13" s="470"/>
      <c r="CO13" s="470"/>
      <c r="CP13" s="471"/>
      <c r="CQ13" s="472"/>
      <c r="CR13" s="472"/>
      <c r="CS13" s="472"/>
      <c r="CT13" s="472"/>
      <c r="CU13" s="472"/>
      <c r="CV13" s="472"/>
      <c r="CW13" s="472"/>
      <c r="CX13" s="472"/>
      <c r="CY13" s="472"/>
      <c r="CZ13" s="472"/>
      <c r="DA13" s="472"/>
      <c r="DB13" s="472"/>
      <c r="DC13" s="472"/>
      <c r="DD13" s="472"/>
      <c r="DE13" s="472"/>
      <c r="DF13" s="509"/>
      <c r="DG13" s="510"/>
      <c r="DH13" s="511"/>
      <c r="DI13" s="511"/>
      <c r="DJ13" s="511"/>
      <c r="DK13" s="511"/>
      <c r="DL13" s="511"/>
      <c r="DM13" s="511"/>
      <c r="DN13" s="511"/>
      <c r="DO13" s="511"/>
      <c r="DP13" s="511"/>
      <c r="DQ13" s="511"/>
      <c r="DR13" s="511"/>
      <c r="DS13" s="511"/>
      <c r="DT13" s="511"/>
      <c r="DU13" s="511"/>
      <c r="DV13" s="579"/>
      <c r="DW13" s="579"/>
      <c r="DX13" s="579"/>
      <c r="DY13" s="579"/>
      <c r="DZ13" s="580"/>
      <c r="EU13" t="s">
        <v>140</v>
      </c>
      <c r="EY13" t="s">
        <v>163</v>
      </c>
    </row>
    <row r="14" spans="2:155" ht="20.100000000000001" customHeight="1">
      <c r="B14" s="568"/>
      <c r="C14" s="569"/>
      <c r="D14" s="569"/>
      <c r="E14" s="569"/>
      <c r="F14" s="570"/>
      <c r="G14" s="554"/>
      <c r="H14" s="555"/>
      <c r="I14" s="555"/>
      <c r="J14" s="555"/>
      <c r="K14" s="472"/>
      <c r="L14" s="472"/>
      <c r="M14" s="472"/>
      <c r="N14" s="472"/>
      <c r="O14" s="472"/>
      <c r="P14" s="472"/>
      <c r="Q14" s="472"/>
      <c r="R14" s="43" t="s">
        <v>171</v>
      </c>
      <c r="S14" s="472"/>
      <c r="T14" s="472"/>
      <c r="U14" s="43" t="s">
        <v>172</v>
      </c>
      <c r="V14" s="44" t="s">
        <v>173</v>
      </c>
      <c r="W14" s="578"/>
      <c r="X14" s="578"/>
      <c r="Y14" s="43" t="s">
        <v>172</v>
      </c>
      <c r="Z14" s="472"/>
      <c r="AA14" s="472"/>
      <c r="AB14" s="472"/>
      <c r="AC14" s="472"/>
      <c r="AD14" s="472"/>
      <c r="AE14" s="472"/>
      <c r="AF14" s="472"/>
      <c r="AG14" s="44" t="s">
        <v>173</v>
      </c>
      <c r="AH14" s="472"/>
      <c r="AI14" s="472"/>
      <c r="AJ14" s="472"/>
      <c r="AK14" s="472"/>
      <c r="AL14" s="472"/>
      <c r="AM14" s="472"/>
      <c r="AN14" s="472"/>
      <c r="AO14" s="472"/>
      <c r="AP14" s="472"/>
      <c r="AQ14" s="472"/>
      <c r="AR14" s="472"/>
      <c r="AS14" s="469"/>
      <c r="AT14" s="470"/>
      <c r="AU14" s="470"/>
      <c r="AV14" s="470"/>
      <c r="AW14" s="470"/>
      <c r="AX14" s="471"/>
      <c r="AY14" s="469"/>
      <c r="AZ14" s="470"/>
      <c r="BA14" s="470"/>
      <c r="BB14" s="470"/>
      <c r="BC14" s="470"/>
      <c r="BD14" s="470"/>
      <c r="BE14" s="470"/>
      <c r="BF14" s="470"/>
      <c r="BG14" s="471"/>
      <c r="BH14" s="469"/>
      <c r="BI14" s="470"/>
      <c r="BJ14" s="471"/>
      <c r="BK14" s="472"/>
      <c r="BL14" s="472"/>
      <c r="BM14" s="472"/>
      <c r="BN14" s="472"/>
      <c r="BO14" s="472"/>
      <c r="BP14" s="472"/>
      <c r="BQ14" s="472"/>
      <c r="BR14" s="472"/>
      <c r="BS14" s="472"/>
      <c r="BT14" s="472"/>
      <c r="BU14" s="472"/>
      <c r="BV14" s="472"/>
      <c r="BW14" s="472"/>
      <c r="BX14" s="469"/>
      <c r="BY14" s="470"/>
      <c r="BZ14" s="471"/>
      <c r="CA14" s="42" t="s">
        <v>174</v>
      </c>
      <c r="CB14" s="44" t="s">
        <v>173</v>
      </c>
      <c r="CC14" s="472"/>
      <c r="CD14" s="472"/>
      <c r="CE14" s="472"/>
      <c r="CF14" s="469"/>
      <c r="CG14" s="470"/>
      <c r="CH14" s="470"/>
      <c r="CI14" s="471"/>
      <c r="CJ14" s="469"/>
      <c r="CK14" s="470"/>
      <c r="CL14" s="470"/>
      <c r="CM14" s="470"/>
      <c r="CN14" s="470"/>
      <c r="CO14" s="470"/>
      <c r="CP14" s="471"/>
      <c r="CQ14" s="472"/>
      <c r="CR14" s="472"/>
      <c r="CS14" s="472"/>
      <c r="CT14" s="472"/>
      <c r="CU14" s="472"/>
      <c r="CV14" s="472"/>
      <c r="CW14" s="472"/>
      <c r="CX14" s="472"/>
      <c r="CY14" s="472"/>
      <c r="CZ14" s="472"/>
      <c r="DA14" s="472"/>
      <c r="DB14" s="472"/>
      <c r="DC14" s="472"/>
      <c r="DD14" s="472"/>
      <c r="DE14" s="472"/>
      <c r="DF14" s="509"/>
      <c r="DG14" s="510"/>
      <c r="DH14" s="511"/>
      <c r="DI14" s="511"/>
      <c r="DJ14" s="511"/>
      <c r="DK14" s="511"/>
      <c r="DL14" s="511"/>
      <c r="DM14" s="511"/>
      <c r="DN14" s="511"/>
      <c r="DO14" s="511"/>
      <c r="DP14" s="511"/>
      <c r="DQ14" s="511"/>
      <c r="DR14" s="511"/>
      <c r="DS14" s="511"/>
      <c r="DT14" s="511"/>
      <c r="DU14" s="511"/>
      <c r="DV14" s="579"/>
      <c r="DW14" s="579"/>
      <c r="DX14" s="579"/>
      <c r="DY14" s="579"/>
      <c r="DZ14" s="580"/>
      <c r="EU14" t="s">
        <v>181</v>
      </c>
      <c r="EY14" t="s">
        <v>164</v>
      </c>
    </row>
    <row r="15" spans="2:155" ht="20.100000000000001" customHeight="1">
      <c r="B15" s="568"/>
      <c r="C15" s="569"/>
      <c r="D15" s="569"/>
      <c r="E15" s="569"/>
      <c r="F15" s="570"/>
      <c r="G15" s="554"/>
      <c r="H15" s="555"/>
      <c r="I15" s="555"/>
      <c r="J15" s="555"/>
      <c r="K15" s="472"/>
      <c r="L15" s="472"/>
      <c r="M15" s="472"/>
      <c r="N15" s="472"/>
      <c r="O15" s="472"/>
      <c r="P15" s="472"/>
      <c r="Q15" s="472"/>
      <c r="R15" s="43" t="s">
        <v>171</v>
      </c>
      <c r="S15" s="472"/>
      <c r="T15" s="472"/>
      <c r="U15" s="43" t="s">
        <v>172</v>
      </c>
      <c r="V15" s="44" t="s">
        <v>173</v>
      </c>
      <c r="W15" s="578"/>
      <c r="X15" s="578"/>
      <c r="Y15" s="43" t="s">
        <v>172</v>
      </c>
      <c r="Z15" s="472"/>
      <c r="AA15" s="472"/>
      <c r="AB15" s="472"/>
      <c r="AC15" s="472"/>
      <c r="AD15" s="472"/>
      <c r="AE15" s="472"/>
      <c r="AF15" s="472"/>
      <c r="AG15" s="44" t="s">
        <v>173</v>
      </c>
      <c r="AH15" s="472"/>
      <c r="AI15" s="472"/>
      <c r="AJ15" s="472"/>
      <c r="AK15" s="472"/>
      <c r="AL15" s="472"/>
      <c r="AM15" s="472"/>
      <c r="AN15" s="472"/>
      <c r="AO15" s="472"/>
      <c r="AP15" s="472"/>
      <c r="AQ15" s="472"/>
      <c r="AR15" s="472"/>
      <c r="AS15" s="469"/>
      <c r="AT15" s="470"/>
      <c r="AU15" s="470"/>
      <c r="AV15" s="470"/>
      <c r="AW15" s="470"/>
      <c r="AX15" s="471"/>
      <c r="AY15" s="469"/>
      <c r="AZ15" s="470"/>
      <c r="BA15" s="470"/>
      <c r="BB15" s="470"/>
      <c r="BC15" s="470"/>
      <c r="BD15" s="470"/>
      <c r="BE15" s="470"/>
      <c r="BF15" s="470"/>
      <c r="BG15" s="471"/>
      <c r="BH15" s="469"/>
      <c r="BI15" s="470"/>
      <c r="BJ15" s="471"/>
      <c r="BK15" s="472"/>
      <c r="BL15" s="472"/>
      <c r="BM15" s="472"/>
      <c r="BN15" s="472"/>
      <c r="BO15" s="472"/>
      <c r="BP15" s="472"/>
      <c r="BQ15" s="472"/>
      <c r="BR15" s="472"/>
      <c r="BS15" s="472"/>
      <c r="BT15" s="472"/>
      <c r="BU15" s="472"/>
      <c r="BV15" s="472"/>
      <c r="BW15" s="472"/>
      <c r="BX15" s="469"/>
      <c r="BY15" s="470"/>
      <c r="BZ15" s="471"/>
      <c r="CA15" s="42" t="s">
        <v>174</v>
      </c>
      <c r="CB15" s="44" t="s">
        <v>173</v>
      </c>
      <c r="CC15" s="472"/>
      <c r="CD15" s="472"/>
      <c r="CE15" s="472"/>
      <c r="CF15" s="469"/>
      <c r="CG15" s="470"/>
      <c r="CH15" s="470"/>
      <c r="CI15" s="471"/>
      <c r="CJ15" s="469"/>
      <c r="CK15" s="470"/>
      <c r="CL15" s="470"/>
      <c r="CM15" s="470"/>
      <c r="CN15" s="470"/>
      <c r="CO15" s="470"/>
      <c r="CP15" s="471"/>
      <c r="CQ15" s="472"/>
      <c r="CR15" s="472"/>
      <c r="CS15" s="472"/>
      <c r="CT15" s="472"/>
      <c r="CU15" s="472"/>
      <c r="CV15" s="472"/>
      <c r="CW15" s="472"/>
      <c r="CX15" s="472"/>
      <c r="CY15" s="472"/>
      <c r="CZ15" s="472"/>
      <c r="DA15" s="472"/>
      <c r="DB15" s="472"/>
      <c r="DC15" s="472"/>
      <c r="DD15" s="472"/>
      <c r="DE15" s="472"/>
      <c r="DF15" s="509"/>
      <c r="DG15" s="510"/>
      <c r="DH15" s="511"/>
      <c r="DI15" s="511"/>
      <c r="DJ15" s="511"/>
      <c r="DK15" s="511"/>
      <c r="DL15" s="511"/>
      <c r="DM15" s="511"/>
      <c r="DN15" s="511"/>
      <c r="DO15" s="511"/>
      <c r="DP15" s="511"/>
      <c r="DQ15" s="511"/>
      <c r="DR15" s="511"/>
      <c r="DS15" s="511"/>
      <c r="DT15" s="511"/>
      <c r="DU15" s="511"/>
      <c r="DV15" s="579"/>
      <c r="DW15" s="579"/>
      <c r="DX15" s="579"/>
      <c r="DY15" s="579"/>
      <c r="DZ15" s="580"/>
      <c r="EU15" t="s">
        <v>141</v>
      </c>
      <c r="EY15" t="s">
        <v>165</v>
      </c>
    </row>
    <row r="16" spans="2:155" ht="20.100000000000001" customHeight="1">
      <c r="B16" s="568"/>
      <c r="C16" s="569"/>
      <c r="D16" s="569"/>
      <c r="E16" s="569"/>
      <c r="F16" s="570"/>
      <c r="G16" s="554"/>
      <c r="H16" s="555"/>
      <c r="I16" s="555"/>
      <c r="J16" s="555"/>
      <c r="K16" s="472"/>
      <c r="L16" s="472"/>
      <c r="M16" s="472"/>
      <c r="N16" s="472"/>
      <c r="O16" s="472"/>
      <c r="P16" s="472"/>
      <c r="Q16" s="472"/>
      <c r="R16" s="43" t="s">
        <v>171</v>
      </c>
      <c r="S16" s="472"/>
      <c r="T16" s="472"/>
      <c r="U16" s="43" t="s">
        <v>172</v>
      </c>
      <c r="V16" s="44" t="s">
        <v>173</v>
      </c>
      <c r="W16" s="578"/>
      <c r="X16" s="578"/>
      <c r="Y16" s="43" t="s">
        <v>172</v>
      </c>
      <c r="Z16" s="472"/>
      <c r="AA16" s="472"/>
      <c r="AB16" s="472"/>
      <c r="AC16" s="472"/>
      <c r="AD16" s="472"/>
      <c r="AE16" s="472"/>
      <c r="AF16" s="472"/>
      <c r="AG16" s="44" t="s">
        <v>173</v>
      </c>
      <c r="AH16" s="472"/>
      <c r="AI16" s="472"/>
      <c r="AJ16" s="472"/>
      <c r="AK16" s="472"/>
      <c r="AL16" s="472"/>
      <c r="AM16" s="472"/>
      <c r="AN16" s="472"/>
      <c r="AO16" s="472"/>
      <c r="AP16" s="472"/>
      <c r="AQ16" s="472"/>
      <c r="AR16" s="472"/>
      <c r="AS16" s="469"/>
      <c r="AT16" s="470"/>
      <c r="AU16" s="470"/>
      <c r="AV16" s="470"/>
      <c r="AW16" s="470"/>
      <c r="AX16" s="471"/>
      <c r="AY16" s="469"/>
      <c r="AZ16" s="470"/>
      <c r="BA16" s="470"/>
      <c r="BB16" s="470"/>
      <c r="BC16" s="470"/>
      <c r="BD16" s="470"/>
      <c r="BE16" s="470"/>
      <c r="BF16" s="470"/>
      <c r="BG16" s="471"/>
      <c r="BH16" s="469"/>
      <c r="BI16" s="470"/>
      <c r="BJ16" s="471"/>
      <c r="BK16" s="472"/>
      <c r="BL16" s="472"/>
      <c r="BM16" s="472"/>
      <c r="BN16" s="472"/>
      <c r="BO16" s="472"/>
      <c r="BP16" s="472"/>
      <c r="BQ16" s="472"/>
      <c r="BR16" s="472"/>
      <c r="BS16" s="472"/>
      <c r="BT16" s="472"/>
      <c r="BU16" s="472"/>
      <c r="BV16" s="472"/>
      <c r="BW16" s="472"/>
      <c r="BX16" s="469"/>
      <c r="BY16" s="470"/>
      <c r="BZ16" s="471"/>
      <c r="CA16" s="42" t="s">
        <v>174</v>
      </c>
      <c r="CB16" s="44" t="s">
        <v>173</v>
      </c>
      <c r="CC16" s="472"/>
      <c r="CD16" s="472"/>
      <c r="CE16" s="472"/>
      <c r="CF16" s="469"/>
      <c r="CG16" s="470"/>
      <c r="CH16" s="470"/>
      <c r="CI16" s="471"/>
      <c r="CJ16" s="469"/>
      <c r="CK16" s="470"/>
      <c r="CL16" s="470"/>
      <c r="CM16" s="470"/>
      <c r="CN16" s="470"/>
      <c r="CO16" s="470"/>
      <c r="CP16" s="471"/>
      <c r="CQ16" s="472"/>
      <c r="CR16" s="472"/>
      <c r="CS16" s="472"/>
      <c r="CT16" s="472"/>
      <c r="CU16" s="472"/>
      <c r="CV16" s="472"/>
      <c r="CW16" s="472"/>
      <c r="CX16" s="472"/>
      <c r="CY16" s="472"/>
      <c r="CZ16" s="472"/>
      <c r="DA16" s="472"/>
      <c r="DB16" s="472"/>
      <c r="DC16" s="472"/>
      <c r="DD16" s="472"/>
      <c r="DE16" s="472"/>
      <c r="DF16" s="509"/>
      <c r="DG16" s="510"/>
      <c r="DH16" s="511"/>
      <c r="DI16" s="511"/>
      <c r="DJ16" s="511"/>
      <c r="DK16" s="511"/>
      <c r="DL16" s="511"/>
      <c r="DM16" s="511"/>
      <c r="DN16" s="511"/>
      <c r="DO16" s="511"/>
      <c r="DP16" s="511"/>
      <c r="DQ16" s="511"/>
      <c r="DR16" s="511"/>
      <c r="DS16" s="511"/>
      <c r="DT16" s="511"/>
      <c r="DU16" s="511"/>
      <c r="DV16" s="579"/>
      <c r="DW16" s="579"/>
      <c r="DX16" s="579"/>
      <c r="DY16" s="579"/>
      <c r="DZ16" s="580"/>
      <c r="EU16" t="s">
        <v>182</v>
      </c>
      <c r="EY16" t="s">
        <v>166</v>
      </c>
    </row>
    <row r="17" spans="2:155" ht="20.100000000000001" customHeight="1">
      <c r="B17" s="568"/>
      <c r="C17" s="569"/>
      <c r="D17" s="569"/>
      <c r="E17" s="569"/>
      <c r="F17" s="570"/>
      <c r="G17" s="554"/>
      <c r="H17" s="555"/>
      <c r="I17" s="555"/>
      <c r="J17" s="555"/>
      <c r="K17" s="472"/>
      <c r="L17" s="472"/>
      <c r="M17" s="472"/>
      <c r="N17" s="472"/>
      <c r="O17" s="472"/>
      <c r="P17" s="472"/>
      <c r="Q17" s="472"/>
      <c r="R17" s="43" t="s">
        <v>171</v>
      </c>
      <c r="S17" s="472"/>
      <c r="T17" s="472"/>
      <c r="U17" s="43" t="s">
        <v>172</v>
      </c>
      <c r="V17" s="44" t="s">
        <v>173</v>
      </c>
      <c r="W17" s="578"/>
      <c r="X17" s="578"/>
      <c r="Y17" s="43" t="s">
        <v>172</v>
      </c>
      <c r="Z17" s="472"/>
      <c r="AA17" s="472"/>
      <c r="AB17" s="472"/>
      <c r="AC17" s="472"/>
      <c r="AD17" s="472"/>
      <c r="AE17" s="472"/>
      <c r="AF17" s="472"/>
      <c r="AG17" s="44" t="s">
        <v>173</v>
      </c>
      <c r="AH17" s="472"/>
      <c r="AI17" s="472"/>
      <c r="AJ17" s="472"/>
      <c r="AK17" s="472"/>
      <c r="AL17" s="472"/>
      <c r="AM17" s="472"/>
      <c r="AN17" s="472"/>
      <c r="AO17" s="472"/>
      <c r="AP17" s="472"/>
      <c r="AQ17" s="472"/>
      <c r="AR17" s="472"/>
      <c r="AS17" s="469"/>
      <c r="AT17" s="470"/>
      <c r="AU17" s="470"/>
      <c r="AV17" s="470"/>
      <c r="AW17" s="470"/>
      <c r="AX17" s="471"/>
      <c r="AY17" s="469"/>
      <c r="AZ17" s="470"/>
      <c r="BA17" s="470"/>
      <c r="BB17" s="470"/>
      <c r="BC17" s="470"/>
      <c r="BD17" s="470"/>
      <c r="BE17" s="470"/>
      <c r="BF17" s="470"/>
      <c r="BG17" s="471"/>
      <c r="BH17" s="469"/>
      <c r="BI17" s="470"/>
      <c r="BJ17" s="471"/>
      <c r="BK17" s="472"/>
      <c r="BL17" s="472"/>
      <c r="BM17" s="472"/>
      <c r="BN17" s="472"/>
      <c r="BO17" s="472"/>
      <c r="BP17" s="472"/>
      <c r="BQ17" s="472"/>
      <c r="BR17" s="472"/>
      <c r="BS17" s="472"/>
      <c r="BT17" s="472"/>
      <c r="BU17" s="472"/>
      <c r="BV17" s="472"/>
      <c r="BW17" s="472"/>
      <c r="BX17" s="469"/>
      <c r="BY17" s="470"/>
      <c r="BZ17" s="471"/>
      <c r="CA17" s="42" t="s">
        <v>174</v>
      </c>
      <c r="CB17" s="44" t="s">
        <v>173</v>
      </c>
      <c r="CC17" s="472"/>
      <c r="CD17" s="472"/>
      <c r="CE17" s="472"/>
      <c r="CF17" s="469"/>
      <c r="CG17" s="470"/>
      <c r="CH17" s="470"/>
      <c r="CI17" s="471"/>
      <c r="CJ17" s="469"/>
      <c r="CK17" s="470"/>
      <c r="CL17" s="470"/>
      <c r="CM17" s="470"/>
      <c r="CN17" s="470"/>
      <c r="CO17" s="470"/>
      <c r="CP17" s="471"/>
      <c r="CQ17" s="472"/>
      <c r="CR17" s="472"/>
      <c r="CS17" s="472"/>
      <c r="CT17" s="472"/>
      <c r="CU17" s="472"/>
      <c r="CV17" s="472"/>
      <c r="CW17" s="472"/>
      <c r="CX17" s="472"/>
      <c r="CY17" s="472"/>
      <c r="CZ17" s="472"/>
      <c r="DA17" s="472"/>
      <c r="DB17" s="472"/>
      <c r="DC17" s="472"/>
      <c r="DD17" s="472"/>
      <c r="DE17" s="472"/>
      <c r="DF17" s="509"/>
      <c r="DG17" s="510"/>
      <c r="DH17" s="511"/>
      <c r="DI17" s="511"/>
      <c r="DJ17" s="511"/>
      <c r="DK17" s="511"/>
      <c r="DL17" s="511"/>
      <c r="DM17" s="511"/>
      <c r="DN17" s="511"/>
      <c r="DO17" s="511"/>
      <c r="DP17" s="511"/>
      <c r="DQ17" s="511"/>
      <c r="DR17" s="511"/>
      <c r="DS17" s="511"/>
      <c r="DT17" s="511"/>
      <c r="DU17" s="511"/>
      <c r="DV17" s="579"/>
      <c r="DW17" s="579"/>
      <c r="DX17" s="579"/>
      <c r="DY17" s="579"/>
      <c r="DZ17" s="580"/>
      <c r="EU17" t="s">
        <v>142</v>
      </c>
      <c r="EY17" t="s">
        <v>167</v>
      </c>
    </row>
    <row r="18" spans="2:155" ht="20.100000000000001" customHeight="1" thickBot="1">
      <c r="B18" s="571"/>
      <c r="C18" s="572"/>
      <c r="D18" s="572"/>
      <c r="E18" s="572"/>
      <c r="F18" s="573"/>
      <c r="G18" s="574"/>
      <c r="H18" s="533"/>
      <c r="I18" s="533"/>
      <c r="J18" s="533"/>
      <c r="K18" s="473"/>
      <c r="L18" s="473"/>
      <c r="M18" s="473"/>
      <c r="N18" s="473"/>
      <c r="O18" s="473"/>
      <c r="P18" s="473"/>
      <c r="Q18" s="473"/>
      <c r="R18" s="45" t="s">
        <v>183</v>
      </c>
      <c r="S18" s="473"/>
      <c r="T18" s="473"/>
      <c r="U18" s="45" t="s">
        <v>184</v>
      </c>
      <c r="V18" s="46" t="s">
        <v>185</v>
      </c>
      <c r="W18" s="589"/>
      <c r="X18" s="589"/>
      <c r="Y18" s="45" t="s">
        <v>184</v>
      </c>
      <c r="Z18" s="473"/>
      <c r="AA18" s="473"/>
      <c r="AB18" s="473"/>
      <c r="AC18" s="473"/>
      <c r="AD18" s="473"/>
      <c r="AE18" s="473"/>
      <c r="AF18" s="473"/>
      <c r="AG18" s="46" t="s">
        <v>185</v>
      </c>
      <c r="AH18" s="473"/>
      <c r="AI18" s="473"/>
      <c r="AJ18" s="473"/>
      <c r="AK18" s="473"/>
      <c r="AL18" s="473"/>
      <c r="AM18" s="473"/>
      <c r="AN18" s="473"/>
      <c r="AO18" s="473"/>
      <c r="AP18" s="473"/>
      <c r="AQ18" s="473"/>
      <c r="AR18" s="473"/>
      <c r="AS18" s="469"/>
      <c r="AT18" s="470"/>
      <c r="AU18" s="470"/>
      <c r="AV18" s="470"/>
      <c r="AW18" s="470"/>
      <c r="AX18" s="471"/>
      <c r="AY18" s="469"/>
      <c r="AZ18" s="470"/>
      <c r="BA18" s="470"/>
      <c r="BB18" s="470"/>
      <c r="BC18" s="470"/>
      <c r="BD18" s="470"/>
      <c r="BE18" s="470"/>
      <c r="BF18" s="470"/>
      <c r="BG18" s="471"/>
      <c r="BH18" s="469"/>
      <c r="BI18" s="470"/>
      <c r="BJ18" s="471"/>
      <c r="BK18" s="473"/>
      <c r="BL18" s="473"/>
      <c r="BM18" s="473"/>
      <c r="BN18" s="473"/>
      <c r="BO18" s="473"/>
      <c r="BP18" s="473"/>
      <c r="BQ18" s="473"/>
      <c r="BR18" s="473"/>
      <c r="BS18" s="473"/>
      <c r="BT18" s="473"/>
      <c r="BU18" s="473"/>
      <c r="BV18" s="473"/>
      <c r="BW18" s="473"/>
      <c r="BX18" s="469"/>
      <c r="BY18" s="470"/>
      <c r="BZ18" s="471"/>
      <c r="CA18" s="42" t="s">
        <v>186</v>
      </c>
      <c r="CB18" s="46" t="s">
        <v>185</v>
      </c>
      <c r="CC18" s="473"/>
      <c r="CD18" s="473"/>
      <c r="CE18" s="473"/>
      <c r="CF18" s="469"/>
      <c r="CG18" s="470"/>
      <c r="CH18" s="470"/>
      <c r="CI18" s="471"/>
      <c r="CJ18" s="469"/>
      <c r="CK18" s="470"/>
      <c r="CL18" s="470"/>
      <c r="CM18" s="470"/>
      <c r="CN18" s="470"/>
      <c r="CO18" s="470"/>
      <c r="CP18" s="471"/>
      <c r="CQ18" s="473"/>
      <c r="CR18" s="473"/>
      <c r="CS18" s="473"/>
      <c r="CT18" s="473"/>
      <c r="CU18" s="473"/>
      <c r="CV18" s="473"/>
      <c r="CW18" s="473"/>
      <c r="CX18" s="473"/>
      <c r="CY18" s="473"/>
      <c r="CZ18" s="473"/>
      <c r="DA18" s="473"/>
      <c r="DB18" s="473"/>
      <c r="DC18" s="473"/>
      <c r="DD18" s="473"/>
      <c r="DE18" s="473"/>
      <c r="DF18" s="588"/>
      <c r="DG18" s="582"/>
      <c r="DH18" s="583"/>
      <c r="DI18" s="583"/>
      <c r="DJ18" s="583"/>
      <c r="DK18" s="583"/>
      <c r="DL18" s="583"/>
      <c r="DM18" s="583"/>
      <c r="DN18" s="583"/>
      <c r="DO18" s="583"/>
      <c r="DP18" s="583"/>
      <c r="DQ18" s="583"/>
      <c r="DR18" s="583"/>
      <c r="DS18" s="583"/>
      <c r="DT18" s="583"/>
      <c r="DU18" s="583"/>
      <c r="DV18" s="487"/>
      <c r="DW18" s="487"/>
      <c r="DX18" s="487"/>
      <c r="DY18" s="487"/>
      <c r="DZ18" s="581"/>
      <c r="EU18" t="s">
        <v>143</v>
      </c>
    </row>
    <row r="19" spans="2:155" ht="20.100000000000001" customHeight="1">
      <c r="B19" s="538" t="s">
        <v>26</v>
      </c>
      <c r="C19" s="539"/>
      <c r="D19" s="539"/>
      <c r="E19" s="539"/>
      <c r="F19" s="540"/>
      <c r="G19" s="593" t="s">
        <v>20</v>
      </c>
      <c r="H19" s="512"/>
      <c r="I19" s="512"/>
      <c r="J19" s="512"/>
      <c r="K19" s="512" t="s">
        <v>40</v>
      </c>
      <c r="L19" s="512"/>
      <c r="M19" s="512"/>
      <c r="N19" s="512"/>
      <c r="O19" s="512"/>
      <c r="P19" s="512"/>
      <c r="Q19" s="512"/>
      <c r="R19" s="512"/>
      <c r="S19" s="512"/>
      <c r="T19" s="512"/>
      <c r="U19" s="512"/>
      <c r="V19" s="512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12" t="s">
        <v>44</v>
      </c>
      <c r="AQ19" s="512"/>
      <c r="AR19" s="512"/>
      <c r="AS19" s="512"/>
      <c r="AT19" s="512"/>
      <c r="AU19" s="512"/>
      <c r="AV19" s="512"/>
      <c r="AW19" s="512"/>
      <c r="AX19" s="512"/>
      <c r="AY19" s="512"/>
      <c r="AZ19" s="512"/>
      <c r="BA19" s="512"/>
      <c r="BB19" s="512"/>
      <c r="BC19" s="512"/>
      <c r="BD19" s="512"/>
      <c r="BE19" s="512"/>
      <c r="BF19" s="512"/>
      <c r="BG19" s="512" t="s">
        <v>41</v>
      </c>
      <c r="BH19" s="512"/>
      <c r="BI19" s="512"/>
      <c r="BJ19" s="512"/>
      <c r="BK19" s="512"/>
      <c r="BL19" s="512" t="s">
        <v>42</v>
      </c>
      <c r="BM19" s="512"/>
      <c r="BN19" s="512"/>
      <c r="BO19" s="512"/>
      <c r="BP19" s="512"/>
      <c r="BQ19" s="512"/>
      <c r="BR19" s="512"/>
      <c r="BS19" s="512"/>
      <c r="BT19" s="512"/>
      <c r="BU19" s="512"/>
      <c r="BV19" s="512"/>
      <c r="BW19" s="512"/>
      <c r="BX19" s="512"/>
      <c r="BY19" s="512"/>
      <c r="BZ19" s="512"/>
      <c r="CA19" s="512"/>
      <c r="CB19" s="512"/>
      <c r="CC19" s="512"/>
      <c r="CD19" s="512"/>
      <c r="CE19" s="512"/>
      <c r="CF19" s="512"/>
      <c r="CG19" s="512"/>
      <c r="CH19" s="512"/>
      <c r="CI19" s="512"/>
      <c r="CJ19" s="512"/>
      <c r="CK19" s="512"/>
      <c r="CL19" s="512"/>
      <c r="CM19" s="512"/>
      <c r="CN19" s="512"/>
      <c r="CO19" s="512"/>
      <c r="CP19" s="512"/>
      <c r="CQ19" s="512"/>
      <c r="CR19" s="512"/>
      <c r="CS19" s="512"/>
      <c r="CT19" s="512"/>
      <c r="CU19" s="512"/>
      <c r="CV19" s="512"/>
      <c r="CW19" s="512"/>
      <c r="CX19" s="512"/>
      <c r="CY19" s="512"/>
      <c r="CZ19" s="512"/>
      <c r="DA19" s="512"/>
      <c r="DB19" s="512"/>
      <c r="DC19" s="512"/>
      <c r="DD19" s="512"/>
      <c r="DE19" s="512"/>
      <c r="DF19" s="512"/>
      <c r="DG19" s="512"/>
      <c r="DH19" s="512"/>
      <c r="DI19" s="512"/>
      <c r="DJ19" s="512"/>
      <c r="DK19" s="512"/>
      <c r="DL19" s="512"/>
      <c r="DM19" s="512"/>
      <c r="DN19" s="512"/>
      <c r="DO19" s="512"/>
      <c r="DP19" s="512"/>
      <c r="DQ19" s="512"/>
      <c r="DR19" s="512"/>
      <c r="DS19" s="512"/>
      <c r="DT19" s="512"/>
      <c r="DU19" s="512"/>
      <c r="DV19" s="512"/>
      <c r="DW19" s="512"/>
      <c r="DX19" s="512"/>
      <c r="DY19" s="512"/>
      <c r="DZ19" s="657"/>
      <c r="EU19" t="s">
        <v>85</v>
      </c>
    </row>
    <row r="20" spans="2:155" ht="20.100000000000001" customHeight="1">
      <c r="B20" s="590"/>
      <c r="C20" s="591"/>
      <c r="D20" s="591"/>
      <c r="E20" s="591"/>
      <c r="F20" s="592"/>
      <c r="G20" s="584"/>
      <c r="H20" s="578"/>
      <c r="I20" s="578"/>
      <c r="J20" s="578"/>
      <c r="K20" s="578"/>
      <c r="L20" s="578"/>
      <c r="M20" s="578"/>
      <c r="N20" s="578"/>
      <c r="O20" s="578"/>
      <c r="P20" s="578"/>
      <c r="Q20" s="578"/>
      <c r="R20" s="578"/>
      <c r="S20" s="578"/>
      <c r="T20" s="578"/>
      <c r="U20" s="578"/>
      <c r="V20" s="578"/>
      <c r="W20" s="578"/>
      <c r="X20" s="578"/>
      <c r="Y20" s="578"/>
      <c r="Z20" s="578"/>
      <c r="AA20" s="578"/>
      <c r="AB20" s="578"/>
      <c r="AC20" s="578"/>
      <c r="AD20" s="578"/>
      <c r="AE20" s="578"/>
      <c r="AF20" s="578"/>
      <c r="AG20" s="578"/>
      <c r="AH20" s="578"/>
      <c r="AI20" s="578"/>
      <c r="AJ20" s="578"/>
      <c r="AK20" s="578"/>
      <c r="AL20" s="578"/>
      <c r="AM20" s="578"/>
      <c r="AN20" s="578"/>
      <c r="AO20" s="578"/>
      <c r="AP20" s="578"/>
      <c r="AQ20" s="578"/>
      <c r="AR20" s="578"/>
      <c r="AS20" s="578"/>
      <c r="AT20" s="578"/>
      <c r="AU20" s="578"/>
      <c r="AV20" s="578"/>
      <c r="AW20" s="578"/>
      <c r="AX20" s="578"/>
      <c r="AY20" s="578"/>
      <c r="AZ20" s="578"/>
      <c r="BA20" s="578"/>
      <c r="BB20" s="578"/>
      <c r="BC20" s="578"/>
      <c r="BD20" s="578"/>
      <c r="BE20" s="578"/>
      <c r="BF20" s="578"/>
      <c r="BG20" s="578"/>
      <c r="BH20" s="578"/>
      <c r="BI20" s="578"/>
      <c r="BJ20" s="578"/>
      <c r="BK20" s="578"/>
      <c r="BL20" s="585" t="s">
        <v>187</v>
      </c>
      <c r="BM20" s="585"/>
      <c r="BN20" s="585"/>
      <c r="BO20" s="585"/>
      <c r="BP20" s="585"/>
      <c r="BQ20" s="585"/>
      <c r="BR20" s="585"/>
      <c r="BS20" s="585"/>
      <c r="BT20" s="585"/>
      <c r="BU20" s="585"/>
      <c r="BV20" s="585"/>
      <c r="BW20" s="585"/>
      <c r="BX20" s="585"/>
      <c r="BY20" s="585"/>
      <c r="BZ20" s="585"/>
      <c r="CA20" s="585"/>
      <c r="CB20" s="585"/>
      <c r="CC20" s="585"/>
      <c r="CD20" s="585"/>
      <c r="CE20" s="585"/>
      <c r="CF20" s="585"/>
      <c r="CG20" s="585"/>
      <c r="CH20" s="585"/>
      <c r="CI20" s="585"/>
      <c r="CJ20" s="585"/>
      <c r="CK20" s="585"/>
      <c r="CL20" s="585"/>
      <c r="CM20" s="585"/>
      <c r="CN20" s="585"/>
      <c r="CO20" s="585"/>
      <c r="CP20" s="585"/>
      <c r="CQ20" s="585"/>
      <c r="CR20" s="585"/>
      <c r="CS20" s="585"/>
      <c r="CT20" s="585"/>
      <c r="CU20" s="585"/>
      <c r="CV20" s="585"/>
      <c r="CW20" s="585"/>
      <c r="CX20" s="585"/>
      <c r="CY20" s="585"/>
      <c r="CZ20" s="585"/>
      <c r="DA20" s="585"/>
      <c r="DB20" s="585"/>
      <c r="DC20" s="585"/>
      <c r="DD20" s="585"/>
      <c r="DE20" s="585"/>
      <c r="DF20" s="585"/>
      <c r="DG20" s="585"/>
      <c r="DH20" s="585"/>
      <c r="DI20" s="585"/>
      <c r="DJ20" s="585"/>
      <c r="DK20" s="585"/>
      <c r="DL20" s="585"/>
      <c r="DM20" s="585"/>
      <c r="DN20" s="585"/>
      <c r="DO20" s="585"/>
      <c r="DP20" s="585"/>
      <c r="DQ20" s="585"/>
      <c r="DR20" s="585"/>
      <c r="DS20" s="585"/>
      <c r="DT20" s="585"/>
      <c r="DU20" s="585"/>
      <c r="DV20" s="585"/>
      <c r="DW20" s="585"/>
      <c r="DX20" s="585"/>
      <c r="DY20" s="585"/>
      <c r="DZ20" s="586"/>
      <c r="EU20" t="s">
        <v>84</v>
      </c>
    </row>
    <row r="21" spans="2:155" ht="20.100000000000001" customHeight="1">
      <c r="B21" s="590"/>
      <c r="C21" s="591"/>
      <c r="D21" s="591"/>
      <c r="E21" s="591"/>
      <c r="F21" s="592"/>
      <c r="G21" s="584"/>
      <c r="H21" s="578"/>
      <c r="I21" s="578"/>
      <c r="J21" s="578"/>
      <c r="K21" s="578"/>
      <c r="L21" s="578"/>
      <c r="M21" s="578"/>
      <c r="N21" s="578"/>
      <c r="O21" s="578"/>
      <c r="P21" s="578"/>
      <c r="Q21" s="578"/>
      <c r="R21" s="578"/>
      <c r="S21" s="578"/>
      <c r="T21" s="578"/>
      <c r="U21" s="578"/>
      <c r="V21" s="578"/>
      <c r="W21" s="578"/>
      <c r="X21" s="578"/>
      <c r="Y21" s="578"/>
      <c r="Z21" s="578"/>
      <c r="AA21" s="578"/>
      <c r="AB21" s="578"/>
      <c r="AC21" s="578"/>
      <c r="AD21" s="578"/>
      <c r="AE21" s="578"/>
      <c r="AF21" s="578"/>
      <c r="AG21" s="578"/>
      <c r="AH21" s="578"/>
      <c r="AI21" s="578"/>
      <c r="AJ21" s="578"/>
      <c r="AK21" s="578"/>
      <c r="AL21" s="578"/>
      <c r="AM21" s="578"/>
      <c r="AN21" s="578"/>
      <c r="AO21" s="578"/>
      <c r="AP21" s="578"/>
      <c r="AQ21" s="578"/>
      <c r="AR21" s="578"/>
      <c r="AS21" s="578"/>
      <c r="AT21" s="578"/>
      <c r="AU21" s="578"/>
      <c r="AV21" s="578"/>
      <c r="AW21" s="578"/>
      <c r="AX21" s="578"/>
      <c r="AY21" s="578"/>
      <c r="AZ21" s="578"/>
      <c r="BA21" s="578"/>
      <c r="BB21" s="578"/>
      <c r="BC21" s="578"/>
      <c r="BD21" s="578"/>
      <c r="BE21" s="578"/>
      <c r="BF21" s="578"/>
      <c r="BG21" s="578"/>
      <c r="BH21" s="578"/>
      <c r="BI21" s="578"/>
      <c r="BJ21" s="578"/>
      <c r="BK21" s="578"/>
      <c r="BL21" s="585" t="s">
        <v>188</v>
      </c>
      <c r="BM21" s="585"/>
      <c r="BN21" s="585"/>
      <c r="BO21" s="585"/>
      <c r="BP21" s="585"/>
      <c r="BQ21" s="585"/>
      <c r="BR21" s="585"/>
      <c r="BS21" s="585"/>
      <c r="BT21" s="585"/>
      <c r="BU21" s="585"/>
      <c r="BV21" s="585"/>
      <c r="BW21" s="585"/>
      <c r="BX21" s="585"/>
      <c r="BY21" s="585"/>
      <c r="BZ21" s="585"/>
      <c r="CA21" s="585"/>
      <c r="CB21" s="585"/>
      <c r="CC21" s="585"/>
      <c r="CD21" s="585"/>
      <c r="CE21" s="585"/>
      <c r="CF21" s="585"/>
      <c r="CG21" s="585"/>
      <c r="CH21" s="585"/>
      <c r="CI21" s="585"/>
      <c r="CJ21" s="585"/>
      <c r="CK21" s="585"/>
      <c r="CL21" s="585"/>
      <c r="CM21" s="585"/>
      <c r="CN21" s="585"/>
      <c r="CO21" s="585"/>
      <c r="CP21" s="585"/>
      <c r="CQ21" s="585"/>
      <c r="CR21" s="585"/>
      <c r="CS21" s="585"/>
      <c r="CT21" s="585"/>
      <c r="CU21" s="585"/>
      <c r="CV21" s="585"/>
      <c r="CW21" s="585"/>
      <c r="CX21" s="585"/>
      <c r="CY21" s="585"/>
      <c r="CZ21" s="585"/>
      <c r="DA21" s="585"/>
      <c r="DB21" s="585"/>
      <c r="DC21" s="585"/>
      <c r="DD21" s="585"/>
      <c r="DE21" s="585"/>
      <c r="DF21" s="585"/>
      <c r="DG21" s="585"/>
      <c r="DH21" s="585"/>
      <c r="DI21" s="585"/>
      <c r="DJ21" s="585"/>
      <c r="DK21" s="585"/>
      <c r="DL21" s="585"/>
      <c r="DM21" s="585"/>
      <c r="DN21" s="585"/>
      <c r="DO21" s="585"/>
      <c r="DP21" s="585"/>
      <c r="DQ21" s="585"/>
      <c r="DR21" s="585"/>
      <c r="DS21" s="585"/>
      <c r="DT21" s="585"/>
      <c r="DU21" s="585"/>
      <c r="DV21" s="585"/>
      <c r="DW21" s="585"/>
      <c r="DX21" s="585"/>
      <c r="DY21" s="585"/>
      <c r="DZ21" s="586"/>
      <c r="EU21" t="s">
        <v>189</v>
      </c>
    </row>
    <row r="22" spans="2:155" ht="20.100000000000001" customHeight="1">
      <c r="B22" s="590"/>
      <c r="C22" s="591"/>
      <c r="D22" s="591"/>
      <c r="E22" s="591"/>
      <c r="F22" s="592"/>
      <c r="G22" s="584"/>
      <c r="H22" s="578"/>
      <c r="I22" s="578"/>
      <c r="J22" s="578"/>
      <c r="K22" s="578"/>
      <c r="L22" s="578"/>
      <c r="M22" s="578"/>
      <c r="N22" s="578"/>
      <c r="O22" s="578"/>
      <c r="P22" s="578"/>
      <c r="Q22" s="578"/>
      <c r="R22" s="578"/>
      <c r="S22" s="578"/>
      <c r="T22" s="578"/>
      <c r="U22" s="578"/>
      <c r="V22" s="578"/>
      <c r="W22" s="578"/>
      <c r="X22" s="578"/>
      <c r="Y22" s="578"/>
      <c r="Z22" s="578"/>
      <c r="AA22" s="578"/>
      <c r="AB22" s="578"/>
      <c r="AC22" s="578"/>
      <c r="AD22" s="578"/>
      <c r="AE22" s="578"/>
      <c r="AF22" s="578"/>
      <c r="AG22" s="578"/>
      <c r="AH22" s="578"/>
      <c r="AI22" s="578"/>
      <c r="AJ22" s="578"/>
      <c r="AK22" s="578"/>
      <c r="AL22" s="578"/>
      <c r="AM22" s="578"/>
      <c r="AN22" s="578"/>
      <c r="AO22" s="578"/>
      <c r="AP22" s="578"/>
      <c r="AQ22" s="578"/>
      <c r="AR22" s="578"/>
      <c r="AS22" s="578"/>
      <c r="AT22" s="578"/>
      <c r="AU22" s="578"/>
      <c r="AV22" s="578"/>
      <c r="AW22" s="578"/>
      <c r="AX22" s="578"/>
      <c r="AY22" s="578"/>
      <c r="AZ22" s="578"/>
      <c r="BA22" s="578"/>
      <c r="BB22" s="578"/>
      <c r="BC22" s="578"/>
      <c r="BD22" s="578"/>
      <c r="BE22" s="578"/>
      <c r="BF22" s="578"/>
      <c r="BG22" s="578"/>
      <c r="BH22" s="578"/>
      <c r="BI22" s="578"/>
      <c r="BJ22" s="578"/>
      <c r="BK22" s="578"/>
      <c r="BL22" s="585" t="s">
        <v>188</v>
      </c>
      <c r="BM22" s="585"/>
      <c r="BN22" s="585"/>
      <c r="BO22" s="585"/>
      <c r="BP22" s="585"/>
      <c r="BQ22" s="585"/>
      <c r="BR22" s="585"/>
      <c r="BS22" s="585"/>
      <c r="BT22" s="585"/>
      <c r="BU22" s="585"/>
      <c r="BV22" s="585"/>
      <c r="BW22" s="585"/>
      <c r="BX22" s="585"/>
      <c r="BY22" s="585"/>
      <c r="BZ22" s="585"/>
      <c r="CA22" s="585"/>
      <c r="CB22" s="585"/>
      <c r="CC22" s="585"/>
      <c r="CD22" s="585"/>
      <c r="CE22" s="585"/>
      <c r="CF22" s="585"/>
      <c r="CG22" s="585"/>
      <c r="CH22" s="585"/>
      <c r="CI22" s="585"/>
      <c r="CJ22" s="585"/>
      <c r="CK22" s="585"/>
      <c r="CL22" s="585"/>
      <c r="CM22" s="585"/>
      <c r="CN22" s="585"/>
      <c r="CO22" s="585"/>
      <c r="CP22" s="585"/>
      <c r="CQ22" s="585"/>
      <c r="CR22" s="585"/>
      <c r="CS22" s="585"/>
      <c r="CT22" s="585"/>
      <c r="CU22" s="585"/>
      <c r="CV22" s="585"/>
      <c r="CW22" s="585"/>
      <c r="CX22" s="585"/>
      <c r="CY22" s="585"/>
      <c r="CZ22" s="585"/>
      <c r="DA22" s="585"/>
      <c r="DB22" s="585"/>
      <c r="DC22" s="585"/>
      <c r="DD22" s="585"/>
      <c r="DE22" s="585"/>
      <c r="DF22" s="585"/>
      <c r="DG22" s="585"/>
      <c r="DH22" s="585"/>
      <c r="DI22" s="585"/>
      <c r="DJ22" s="585"/>
      <c r="DK22" s="585"/>
      <c r="DL22" s="585"/>
      <c r="DM22" s="585"/>
      <c r="DN22" s="585"/>
      <c r="DO22" s="585"/>
      <c r="DP22" s="585"/>
      <c r="DQ22" s="585"/>
      <c r="DR22" s="585"/>
      <c r="DS22" s="585"/>
      <c r="DT22" s="585"/>
      <c r="DU22" s="585"/>
      <c r="DV22" s="585"/>
      <c r="DW22" s="585"/>
      <c r="DX22" s="585"/>
      <c r="DY22" s="585"/>
      <c r="DZ22" s="586"/>
      <c r="EU22" t="s">
        <v>190</v>
      </c>
    </row>
    <row r="23" spans="2:155" ht="20.100000000000001" customHeight="1">
      <c r="B23" s="590"/>
      <c r="C23" s="591"/>
      <c r="D23" s="591"/>
      <c r="E23" s="591"/>
      <c r="F23" s="592"/>
      <c r="G23" s="584"/>
      <c r="H23" s="578"/>
      <c r="I23" s="578"/>
      <c r="J23" s="578"/>
      <c r="K23" s="578"/>
      <c r="L23" s="578"/>
      <c r="M23" s="578"/>
      <c r="N23" s="578"/>
      <c r="O23" s="578"/>
      <c r="P23" s="578"/>
      <c r="Q23" s="578"/>
      <c r="R23" s="578"/>
      <c r="S23" s="578"/>
      <c r="T23" s="578"/>
      <c r="U23" s="578"/>
      <c r="V23" s="578"/>
      <c r="W23" s="578"/>
      <c r="X23" s="578"/>
      <c r="Y23" s="578"/>
      <c r="Z23" s="578"/>
      <c r="AA23" s="578"/>
      <c r="AB23" s="578"/>
      <c r="AC23" s="578"/>
      <c r="AD23" s="578"/>
      <c r="AE23" s="578"/>
      <c r="AF23" s="578"/>
      <c r="AG23" s="578"/>
      <c r="AH23" s="578"/>
      <c r="AI23" s="578"/>
      <c r="AJ23" s="578"/>
      <c r="AK23" s="578"/>
      <c r="AL23" s="578"/>
      <c r="AM23" s="578"/>
      <c r="AN23" s="578"/>
      <c r="AO23" s="578"/>
      <c r="AP23" s="578"/>
      <c r="AQ23" s="578"/>
      <c r="AR23" s="578"/>
      <c r="AS23" s="578"/>
      <c r="AT23" s="578"/>
      <c r="AU23" s="578"/>
      <c r="AV23" s="578"/>
      <c r="AW23" s="578"/>
      <c r="AX23" s="578"/>
      <c r="AY23" s="578"/>
      <c r="AZ23" s="578"/>
      <c r="BA23" s="578"/>
      <c r="BB23" s="578"/>
      <c r="BC23" s="578"/>
      <c r="BD23" s="578"/>
      <c r="BE23" s="578"/>
      <c r="BF23" s="578"/>
      <c r="BG23" s="578"/>
      <c r="BH23" s="578"/>
      <c r="BI23" s="578"/>
      <c r="BJ23" s="578"/>
      <c r="BK23" s="578"/>
      <c r="BL23" s="585" t="s">
        <v>188</v>
      </c>
      <c r="BM23" s="585"/>
      <c r="BN23" s="585"/>
      <c r="BO23" s="585"/>
      <c r="BP23" s="585"/>
      <c r="BQ23" s="585"/>
      <c r="BR23" s="585"/>
      <c r="BS23" s="585"/>
      <c r="BT23" s="585"/>
      <c r="BU23" s="585"/>
      <c r="BV23" s="585"/>
      <c r="BW23" s="585"/>
      <c r="BX23" s="585"/>
      <c r="BY23" s="585"/>
      <c r="BZ23" s="585"/>
      <c r="CA23" s="585"/>
      <c r="CB23" s="585"/>
      <c r="CC23" s="585"/>
      <c r="CD23" s="585"/>
      <c r="CE23" s="585"/>
      <c r="CF23" s="585"/>
      <c r="CG23" s="585"/>
      <c r="CH23" s="585"/>
      <c r="CI23" s="585"/>
      <c r="CJ23" s="585"/>
      <c r="CK23" s="585"/>
      <c r="CL23" s="585"/>
      <c r="CM23" s="585"/>
      <c r="CN23" s="585"/>
      <c r="CO23" s="585"/>
      <c r="CP23" s="585"/>
      <c r="CQ23" s="585"/>
      <c r="CR23" s="585"/>
      <c r="CS23" s="585"/>
      <c r="CT23" s="585"/>
      <c r="CU23" s="585"/>
      <c r="CV23" s="585"/>
      <c r="CW23" s="585"/>
      <c r="CX23" s="585"/>
      <c r="CY23" s="585"/>
      <c r="CZ23" s="585"/>
      <c r="DA23" s="585"/>
      <c r="DB23" s="585"/>
      <c r="DC23" s="585"/>
      <c r="DD23" s="585"/>
      <c r="DE23" s="585"/>
      <c r="DF23" s="585"/>
      <c r="DG23" s="585"/>
      <c r="DH23" s="585"/>
      <c r="DI23" s="585"/>
      <c r="DJ23" s="585"/>
      <c r="DK23" s="585"/>
      <c r="DL23" s="585"/>
      <c r="DM23" s="585"/>
      <c r="DN23" s="585"/>
      <c r="DO23" s="585"/>
      <c r="DP23" s="585"/>
      <c r="DQ23" s="585"/>
      <c r="DR23" s="585"/>
      <c r="DS23" s="585"/>
      <c r="DT23" s="585"/>
      <c r="DU23" s="585"/>
      <c r="DV23" s="585"/>
      <c r="DW23" s="585"/>
      <c r="DX23" s="585"/>
      <c r="DY23" s="585"/>
      <c r="DZ23" s="586"/>
      <c r="EU23" t="s">
        <v>144</v>
      </c>
    </row>
    <row r="24" spans="2:155" ht="20.100000000000001" customHeight="1" thickBot="1">
      <c r="B24" s="541"/>
      <c r="C24" s="481"/>
      <c r="D24" s="481"/>
      <c r="E24" s="481"/>
      <c r="F24" s="542"/>
      <c r="G24" s="605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73"/>
      <c r="AY24" s="473"/>
      <c r="AZ24" s="473"/>
      <c r="BA24" s="473"/>
      <c r="BB24" s="473"/>
      <c r="BC24" s="473"/>
      <c r="BD24" s="473"/>
      <c r="BE24" s="473"/>
      <c r="BF24" s="473"/>
      <c r="BG24" s="473"/>
      <c r="BH24" s="473"/>
      <c r="BI24" s="473"/>
      <c r="BJ24" s="473"/>
      <c r="BK24" s="473"/>
      <c r="BL24" s="645" t="s">
        <v>187</v>
      </c>
      <c r="BM24" s="645"/>
      <c r="BN24" s="645"/>
      <c r="BO24" s="645"/>
      <c r="BP24" s="645"/>
      <c r="BQ24" s="645"/>
      <c r="BR24" s="645"/>
      <c r="BS24" s="645"/>
      <c r="BT24" s="645"/>
      <c r="BU24" s="645"/>
      <c r="BV24" s="645"/>
      <c r="BW24" s="645"/>
      <c r="BX24" s="645"/>
      <c r="BY24" s="645"/>
      <c r="BZ24" s="645"/>
      <c r="CA24" s="645"/>
      <c r="CB24" s="645"/>
      <c r="CC24" s="645"/>
      <c r="CD24" s="645"/>
      <c r="CE24" s="645"/>
      <c r="CF24" s="645"/>
      <c r="CG24" s="645"/>
      <c r="CH24" s="645"/>
      <c r="CI24" s="645"/>
      <c r="CJ24" s="645"/>
      <c r="CK24" s="645"/>
      <c r="CL24" s="645"/>
      <c r="CM24" s="645"/>
      <c r="CN24" s="645"/>
      <c r="CO24" s="645"/>
      <c r="CP24" s="645"/>
      <c r="CQ24" s="645"/>
      <c r="CR24" s="645"/>
      <c r="CS24" s="645"/>
      <c r="CT24" s="645"/>
      <c r="CU24" s="645"/>
      <c r="CV24" s="645"/>
      <c r="CW24" s="645"/>
      <c r="CX24" s="645"/>
      <c r="CY24" s="645"/>
      <c r="CZ24" s="645"/>
      <c r="DA24" s="645"/>
      <c r="DB24" s="645"/>
      <c r="DC24" s="645"/>
      <c r="DD24" s="645"/>
      <c r="DE24" s="645"/>
      <c r="DF24" s="645"/>
      <c r="DG24" s="645"/>
      <c r="DH24" s="645"/>
      <c r="DI24" s="645"/>
      <c r="DJ24" s="645"/>
      <c r="DK24" s="645"/>
      <c r="DL24" s="645"/>
      <c r="DM24" s="645"/>
      <c r="DN24" s="645"/>
      <c r="DO24" s="645"/>
      <c r="DP24" s="645"/>
      <c r="DQ24" s="645"/>
      <c r="DR24" s="645"/>
      <c r="DS24" s="645"/>
      <c r="DT24" s="645"/>
      <c r="DU24" s="645"/>
      <c r="DV24" s="645"/>
      <c r="DW24" s="645"/>
      <c r="DX24" s="645"/>
      <c r="DY24" s="645"/>
      <c r="DZ24" s="646"/>
      <c r="EU24" t="s">
        <v>94</v>
      </c>
    </row>
    <row r="25" spans="2:155" ht="20.100000000000001" customHeight="1">
      <c r="B25" s="538" t="s">
        <v>43</v>
      </c>
      <c r="C25" s="539"/>
      <c r="D25" s="539"/>
      <c r="E25" s="539"/>
      <c r="F25" s="540"/>
      <c r="G25" s="593" t="s">
        <v>45</v>
      </c>
      <c r="H25" s="512"/>
      <c r="I25" s="512"/>
      <c r="J25" s="512"/>
      <c r="K25" s="512"/>
      <c r="L25" s="512"/>
      <c r="M25" s="512"/>
      <c r="N25" s="512"/>
      <c r="O25" s="512"/>
      <c r="P25" s="512"/>
      <c r="Q25" s="512"/>
      <c r="R25" s="512"/>
      <c r="S25" s="512"/>
      <c r="T25" s="512"/>
      <c r="U25" s="512"/>
      <c r="V25" s="512"/>
      <c r="W25" s="489"/>
      <c r="X25" s="512" t="s">
        <v>41</v>
      </c>
      <c r="Y25" s="512"/>
      <c r="Z25" s="512"/>
      <c r="AA25" s="512"/>
      <c r="AB25" s="512"/>
      <c r="AC25" s="594" t="s">
        <v>46</v>
      </c>
      <c r="AD25" s="594"/>
      <c r="AE25" s="594"/>
      <c r="AF25" s="594"/>
      <c r="AG25" s="594"/>
      <c r="AH25" s="594"/>
      <c r="AI25" s="594"/>
      <c r="AJ25" s="594" t="s">
        <v>47</v>
      </c>
      <c r="AK25" s="594"/>
      <c r="AL25" s="594"/>
      <c r="AM25" s="594"/>
      <c r="AN25" s="594"/>
      <c r="AO25" s="594"/>
      <c r="AP25" s="594"/>
      <c r="AQ25" s="539" t="s">
        <v>42</v>
      </c>
      <c r="AR25" s="539"/>
      <c r="AS25" s="539"/>
      <c r="AT25" s="539"/>
      <c r="AU25" s="539"/>
      <c r="AV25" s="539"/>
      <c r="AW25" s="539"/>
      <c r="AX25" s="539"/>
      <c r="AY25" s="539"/>
      <c r="AZ25" s="539"/>
      <c r="BA25" s="539"/>
      <c r="BB25" s="539"/>
      <c r="BC25" s="539"/>
      <c r="BD25" s="539"/>
      <c r="BE25" s="539"/>
      <c r="BF25" s="539"/>
      <c r="BG25" s="539"/>
      <c r="BH25" s="539"/>
      <c r="BI25" s="539"/>
      <c r="BJ25" s="539"/>
      <c r="BK25" s="539"/>
      <c r="BL25" s="539"/>
      <c r="BM25" s="539"/>
      <c r="BN25" s="539"/>
      <c r="BO25" s="539"/>
      <c r="BP25" s="539"/>
      <c r="BQ25" s="539"/>
      <c r="BR25" s="539"/>
      <c r="BS25" s="539"/>
      <c r="BT25" s="539"/>
      <c r="BU25" s="539"/>
      <c r="BV25" s="539"/>
      <c r="BW25" s="539"/>
      <c r="BX25" s="539"/>
      <c r="BY25" s="539"/>
      <c r="BZ25" s="539"/>
      <c r="CA25" s="539"/>
      <c r="CB25" s="539"/>
      <c r="CC25" s="539"/>
      <c r="CD25" s="539"/>
      <c r="CE25" s="539"/>
      <c r="CF25" s="539"/>
      <c r="CG25" s="539"/>
      <c r="CH25" s="539"/>
      <c r="CI25" s="539"/>
      <c r="CJ25" s="539"/>
      <c r="CK25" s="539"/>
      <c r="CL25" s="539"/>
      <c r="CM25" s="539"/>
      <c r="CN25" s="539"/>
      <c r="CO25" s="539"/>
      <c r="CP25" s="539"/>
      <c r="CQ25" s="539"/>
      <c r="CR25" s="539"/>
      <c r="CS25" s="539"/>
      <c r="CT25" s="539"/>
      <c r="CU25" s="539"/>
      <c r="CV25" s="539"/>
      <c r="CW25" s="539"/>
      <c r="CX25" s="539"/>
      <c r="CY25" s="539"/>
      <c r="CZ25" s="539"/>
      <c r="DA25" s="539"/>
      <c r="DB25" s="539"/>
      <c r="DC25" s="539"/>
      <c r="DD25" s="539"/>
      <c r="DE25" s="539"/>
      <c r="DF25" s="539"/>
      <c r="DG25" s="539"/>
      <c r="DH25" s="539"/>
      <c r="DI25" s="539"/>
      <c r="DJ25" s="539"/>
      <c r="DK25" s="539"/>
      <c r="DL25" s="539"/>
      <c r="DM25" s="539"/>
      <c r="DN25" s="539"/>
      <c r="DO25" s="539"/>
      <c r="DP25" s="539"/>
      <c r="DQ25" s="539"/>
      <c r="DR25" s="539"/>
      <c r="DS25" s="539"/>
      <c r="DT25" s="539"/>
      <c r="DU25" s="539"/>
      <c r="DV25" s="539"/>
      <c r="DW25" s="539"/>
      <c r="DX25" s="539"/>
      <c r="DY25" s="539"/>
      <c r="DZ25" s="540"/>
      <c r="EU25" t="s">
        <v>108</v>
      </c>
    </row>
    <row r="26" spans="2:155" ht="20.100000000000001" customHeight="1">
      <c r="B26" s="590"/>
      <c r="C26" s="591"/>
      <c r="D26" s="591"/>
      <c r="E26" s="591"/>
      <c r="F26" s="592"/>
      <c r="G26" s="554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472"/>
      <c r="Y26" s="472"/>
      <c r="Z26" s="472"/>
      <c r="AA26" s="472"/>
      <c r="AB26" s="472"/>
      <c r="AC26" s="595"/>
      <c r="AD26" s="595"/>
      <c r="AE26" s="595"/>
      <c r="AF26" s="595"/>
      <c r="AG26" s="595"/>
      <c r="AH26" s="595"/>
      <c r="AI26" s="595"/>
      <c r="AJ26" s="595"/>
      <c r="AK26" s="595"/>
      <c r="AL26" s="595"/>
      <c r="AM26" s="595"/>
      <c r="AN26" s="595"/>
      <c r="AO26" s="595"/>
      <c r="AP26" s="595"/>
      <c r="AQ26" s="596" t="s">
        <v>191</v>
      </c>
      <c r="AR26" s="596"/>
      <c r="AS26" s="596"/>
      <c r="AT26" s="596"/>
      <c r="AU26" s="596"/>
      <c r="AV26" s="596"/>
      <c r="AW26" s="596"/>
      <c r="AX26" s="596"/>
      <c r="AY26" s="596"/>
      <c r="AZ26" s="596"/>
      <c r="BA26" s="596"/>
      <c r="BB26" s="596"/>
      <c r="BC26" s="596"/>
      <c r="BD26" s="596"/>
      <c r="BE26" s="596"/>
      <c r="BF26" s="596"/>
      <c r="BG26" s="596"/>
      <c r="BH26" s="596"/>
      <c r="BI26" s="596"/>
      <c r="BJ26" s="596"/>
      <c r="BK26" s="596"/>
      <c r="BL26" s="596"/>
      <c r="BM26" s="596"/>
      <c r="BN26" s="596"/>
      <c r="BO26" s="596"/>
      <c r="BP26" s="596"/>
      <c r="BQ26" s="596"/>
      <c r="BR26" s="596"/>
      <c r="BS26" s="596"/>
      <c r="BT26" s="596"/>
      <c r="BU26" s="596"/>
      <c r="BV26" s="596"/>
      <c r="BW26" s="596"/>
      <c r="BX26" s="596"/>
      <c r="BY26" s="596"/>
      <c r="BZ26" s="596"/>
      <c r="CA26" s="596"/>
      <c r="CB26" s="596"/>
      <c r="CC26" s="596"/>
      <c r="CD26" s="596"/>
      <c r="CE26" s="596"/>
      <c r="CF26" s="596"/>
      <c r="CG26" s="596"/>
      <c r="CH26" s="596"/>
      <c r="CI26" s="596"/>
      <c r="CJ26" s="596"/>
      <c r="CK26" s="596"/>
      <c r="CL26" s="596"/>
      <c r="CM26" s="596"/>
      <c r="CN26" s="596"/>
      <c r="CO26" s="596"/>
      <c r="CP26" s="596"/>
      <c r="CQ26" s="596"/>
      <c r="CR26" s="596"/>
      <c r="CS26" s="596"/>
      <c r="CT26" s="596"/>
      <c r="CU26" s="596"/>
      <c r="CV26" s="596"/>
      <c r="CW26" s="596"/>
      <c r="CX26" s="596"/>
      <c r="CY26" s="596"/>
      <c r="CZ26" s="596"/>
      <c r="DA26" s="596"/>
      <c r="DB26" s="596"/>
      <c r="DC26" s="596"/>
      <c r="DD26" s="596"/>
      <c r="DE26" s="596"/>
      <c r="DF26" s="596"/>
      <c r="DG26" s="596"/>
      <c r="DH26" s="596"/>
      <c r="DI26" s="596"/>
      <c r="DJ26" s="596"/>
      <c r="DK26" s="596"/>
      <c r="DL26" s="596"/>
      <c r="DM26" s="596"/>
      <c r="DN26" s="596"/>
      <c r="DO26" s="596"/>
      <c r="DP26" s="596"/>
      <c r="DQ26" s="596"/>
      <c r="DR26" s="596"/>
      <c r="DS26" s="596"/>
      <c r="DT26" s="596"/>
      <c r="DU26" s="596"/>
      <c r="DV26" s="596"/>
      <c r="DW26" s="596"/>
      <c r="DX26" s="596"/>
      <c r="DY26" s="596"/>
      <c r="DZ26" s="597"/>
      <c r="EU26" t="s">
        <v>145</v>
      </c>
    </row>
    <row r="27" spans="2:155" ht="20.100000000000001" customHeight="1">
      <c r="B27" s="590"/>
      <c r="C27" s="591"/>
      <c r="D27" s="591"/>
      <c r="E27" s="591"/>
      <c r="F27" s="592"/>
      <c r="G27" s="554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472"/>
      <c r="Y27" s="472"/>
      <c r="Z27" s="472"/>
      <c r="AA27" s="472"/>
      <c r="AB27" s="472"/>
      <c r="AC27" s="595"/>
      <c r="AD27" s="595"/>
      <c r="AE27" s="595"/>
      <c r="AF27" s="595"/>
      <c r="AG27" s="595"/>
      <c r="AH27" s="595"/>
      <c r="AI27" s="595"/>
      <c r="AJ27" s="595"/>
      <c r="AK27" s="595"/>
      <c r="AL27" s="595"/>
      <c r="AM27" s="595"/>
      <c r="AN27" s="595"/>
      <c r="AO27" s="595"/>
      <c r="AP27" s="595"/>
      <c r="AQ27" s="596" t="s">
        <v>191</v>
      </c>
      <c r="AR27" s="596"/>
      <c r="AS27" s="596"/>
      <c r="AT27" s="596"/>
      <c r="AU27" s="596"/>
      <c r="AV27" s="596"/>
      <c r="AW27" s="596"/>
      <c r="AX27" s="596"/>
      <c r="AY27" s="596"/>
      <c r="AZ27" s="596"/>
      <c r="BA27" s="596"/>
      <c r="BB27" s="596"/>
      <c r="BC27" s="596"/>
      <c r="BD27" s="596"/>
      <c r="BE27" s="596"/>
      <c r="BF27" s="596"/>
      <c r="BG27" s="596"/>
      <c r="BH27" s="596"/>
      <c r="BI27" s="596"/>
      <c r="BJ27" s="596"/>
      <c r="BK27" s="596"/>
      <c r="BL27" s="596"/>
      <c r="BM27" s="596"/>
      <c r="BN27" s="596"/>
      <c r="BO27" s="596"/>
      <c r="BP27" s="596"/>
      <c r="BQ27" s="596"/>
      <c r="BR27" s="596"/>
      <c r="BS27" s="596"/>
      <c r="BT27" s="596"/>
      <c r="BU27" s="596"/>
      <c r="BV27" s="596"/>
      <c r="BW27" s="596"/>
      <c r="BX27" s="596"/>
      <c r="BY27" s="596"/>
      <c r="BZ27" s="596"/>
      <c r="CA27" s="596"/>
      <c r="CB27" s="596"/>
      <c r="CC27" s="596"/>
      <c r="CD27" s="596"/>
      <c r="CE27" s="596"/>
      <c r="CF27" s="596"/>
      <c r="CG27" s="596"/>
      <c r="CH27" s="596"/>
      <c r="CI27" s="596"/>
      <c r="CJ27" s="596"/>
      <c r="CK27" s="596"/>
      <c r="CL27" s="596"/>
      <c r="CM27" s="596"/>
      <c r="CN27" s="596"/>
      <c r="CO27" s="596"/>
      <c r="CP27" s="596"/>
      <c r="CQ27" s="596"/>
      <c r="CR27" s="596"/>
      <c r="CS27" s="596"/>
      <c r="CT27" s="596"/>
      <c r="CU27" s="596"/>
      <c r="CV27" s="596"/>
      <c r="CW27" s="596"/>
      <c r="CX27" s="596"/>
      <c r="CY27" s="596"/>
      <c r="CZ27" s="596"/>
      <c r="DA27" s="596"/>
      <c r="DB27" s="596"/>
      <c r="DC27" s="596"/>
      <c r="DD27" s="596"/>
      <c r="DE27" s="596"/>
      <c r="DF27" s="596"/>
      <c r="DG27" s="596"/>
      <c r="DH27" s="596"/>
      <c r="DI27" s="596"/>
      <c r="DJ27" s="596"/>
      <c r="DK27" s="596"/>
      <c r="DL27" s="596"/>
      <c r="DM27" s="596"/>
      <c r="DN27" s="596"/>
      <c r="DO27" s="596"/>
      <c r="DP27" s="596"/>
      <c r="DQ27" s="596"/>
      <c r="DR27" s="596"/>
      <c r="DS27" s="596"/>
      <c r="DT27" s="596"/>
      <c r="DU27" s="596"/>
      <c r="DV27" s="596"/>
      <c r="DW27" s="596"/>
      <c r="DX27" s="596"/>
      <c r="DY27" s="596"/>
      <c r="DZ27" s="597"/>
      <c r="EU27" t="s">
        <v>122</v>
      </c>
    </row>
    <row r="28" spans="2:155" ht="20.100000000000001" customHeight="1">
      <c r="B28" s="590"/>
      <c r="C28" s="591"/>
      <c r="D28" s="591"/>
      <c r="E28" s="591"/>
      <c r="F28" s="592"/>
      <c r="G28" s="554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472"/>
      <c r="Y28" s="472"/>
      <c r="Z28" s="472"/>
      <c r="AA28" s="472"/>
      <c r="AB28" s="472"/>
      <c r="AC28" s="595"/>
      <c r="AD28" s="595"/>
      <c r="AE28" s="595"/>
      <c r="AF28" s="595"/>
      <c r="AG28" s="595"/>
      <c r="AH28" s="595"/>
      <c r="AI28" s="595"/>
      <c r="AJ28" s="595"/>
      <c r="AK28" s="595"/>
      <c r="AL28" s="595"/>
      <c r="AM28" s="595"/>
      <c r="AN28" s="595"/>
      <c r="AO28" s="595"/>
      <c r="AP28" s="595"/>
      <c r="AQ28" s="596" t="s">
        <v>192</v>
      </c>
      <c r="AR28" s="596"/>
      <c r="AS28" s="596"/>
      <c r="AT28" s="596"/>
      <c r="AU28" s="596"/>
      <c r="AV28" s="596"/>
      <c r="AW28" s="596"/>
      <c r="AX28" s="596"/>
      <c r="AY28" s="596"/>
      <c r="AZ28" s="596"/>
      <c r="BA28" s="596"/>
      <c r="BB28" s="596"/>
      <c r="BC28" s="596"/>
      <c r="BD28" s="596"/>
      <c r="BE28" s="596"/>
      <c r="BF28" s="596"/>
      <c r="BG28" s="596"/>
      <c r="BH28" s="596"/>
      <c r="BI28" s="596"/>
      <c r="BJ28" s="596"/>
      <c r="BK28" s="596"/>
      <c r="BL28" s="596"/>
      <c r="BM28" s="596"/>
      <c r="BN28" s="596"/>
      <c r="BO28" s="596"/>
      <c r="BP28" s="596"/>
      <c r="BQ28" s="596"/>
      <c r="BR28" s="596"/>
      <c r="BS28" s="596"/>
      <c r="BT28" s="596"/>
      <c r="BU28" s="596"/>
      <c r="BV28" s="596"/>
      <c r="BW28" s="596"/>
      <c r="BX28" s="596"/>
      <c r="BY28" s="596"/>
      <c r="BZ28" s="596"/>
      <c r="CA28" s="596"/>
      <c r="CB28" s="596"/>
      <c r="CC28" s="596"/>
      <c r="CD28" s="596"/>
      <c r="CE28" s="596"/>
      <c r="CF28" s="596"/>
      <c r="CG28" s="596"/>
      <c r="CH28" s="596"/>
      <c r="CI28" s="596"/>
      <c r="CJ28" s="596"/>
      <c r="CK28" s="596"/>
      <c r="CL28" s="596"/>
      <c r="CM28" s="596"/>
      <c r="CN28" s="596"/>
      <c r="CO28" s="596"/>
      <c r="CP28" s="596"/>
      <c r="CQ28" s="596"/>
      <c r="CR28" s="596"/>
      <c r="CS28" s="596"/>
      <c r="CT28" s="596"/>
      <c r="CU28" s="596"/>
      <c r="CV28" s="596"/>
      <c r="CW28" s="596"/>
      <c r="CX28" s="596"/>
      <c r="CY28" s="596"/>
      <c r="CZ28" s="596"/>
      <c r="DA28" s="596"/>
      <c r="DB28" s="596"/>
      <c r="DC28" s="596"/>
      <c r="DD28" s="596"/>
      <c r="DE28" s="596"/>
      <c r="DF28" s="596"/>
      <c r="DG28" s="596"/>
      <c r="DH28" s="596"/>
      <c r="DI28" s="596"/>
      <c r="DJ28" s="596"/>
      <c r="DK28" s="596"/>
      <c r="DL28" s="596"/>
      <c r="DM28" s="596"/>
      <c r="DN28" s="596"/>
      <c r="DO28" s="596"/>
      <c r="DP28" s="596"/>
      <c r="DQ28" s="596"/>
      <c r="DR28" s="596"/>
      <c r="DS28" s="596"/>
      <c r="DT28" s="596"/>
      <c r="DU28" s="596"/>
      <c r="DV28" s="596"/>
      <c r="DW28" s="596"/>
      <c r="DX28" s="596"/>
      <c r="DY28" s="596"/>
      <c r="DZ28" s="597"/>
      <c r="EU28" t="s">
        <v>149</v>
      </c>
    </row>
    <row r="29" spans="2:155" ht="20.100000000000001" customHeight="1">
      <c r="B29" s="590"/>
      <c r="C29" s="591"/>
      <c r="D29" s="591"/>
      <c r="E29" s="591"/>
      <c r="F29" s="592"/>
      <c r="G29" s="554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472"/>
      <c r="Y29" s="472"/>
      <c r="Z29" s="472"/>
      <c r="AA29" s="472"/>
      <c r="AB29" s="472"/>
      <c r="AC29" s="595"/>
      <c r="AD29" s="595"/>
      <c r="AE29" s="595"/>
      <c r="AF29" s="595"/>
      <c r="AG29" s="595"/>
      <c r="AH29" s="595"/>
      <c r="AI29" s="595"/>
      <c r="AJ29" s="595"/>
      <c r="AK29" s="595"/>
      <c r="AL29" s="595"/>
      <c r="AM29" s="595"/>
      <c r="AN29" s="595"/>
      <c r="AO29" s="595"/>
      <c r="AP29" s="595"/>
      <c r="AQ29" s="596" t="s">
        <v>193</v>
      </c>
      <c r="AR29" s="596"/>
      <c r="AS29" s="596"/>
      <c r="AT29" s="596"/>
      <c r="AU29" s="596"/>
      <c r="AV29" s="596"/>
      <c r="AW29" s="596"/>
      <c r="AX29" s="596"/>
      <c r="AY29" s="596"/>
      <c r="AZ29" s="596"/>
      <c r="BA29" s="596"/>
      <c r="BB29" s="596"/>
      <c r="BC29" s="596"/>
      <c r="BD29" s="596"/>
      <c r="BE29" s="596"/>
      <c r="BF29" s="596"/>
      <c r="BG29" s="596"/>
      <c r="BH29" s="596"/>
      <c r="BI29" s="596"/>
      <c r="BJ29" s="596"/>
      <c r="BK29" s="596"/>
      <c r="BL29" s="596"/>
      <c r="BM29" s="596"/>
      <c r="BN29" s="596"/>
      <c r="BO29" s="596"/>
      <c r="BP29" s="596"/>
      <c r="BQ29" s="596"/>
      <c r="BR29" s="596"/>
      <c r="BS29" s="596"/>
      <c r="BT29" s="596"/>
      <c r="BU29" s="596"/>
      <c r="BV29" s="596"/>
      <c r="BW29" s="596"/>
      <c r="BX29" s="596"/>
      <c r="BY29" s="596"/>
      <c r="BZ29" s="596"/>
      <c r="CA29" s="596"/>
      <c r="CB29" s="596"/>
      <c r="CC29" s="596"/>
      <c r="CD29" s="596"/>
      <c r="CE29" s="596"/>
      <c r="CF29" s="596"/>
      <c r="CG29" s="596"/>
      <c r="CH29" s="596"/>
      <c r="CI29" s="596"/>
      <c r="CJ29" s="596"/>
      <c r="CK29" s="596"/>
      <c r="CL29" s="596"/>
      <c r="CM29" s="596"/>
      <c r="CN29" s="596"/>
      <c r="CO29" s="596"/>
      <c r="CP29" s="596"/>
      <c r="CQ29" s="596"/>
      <c r="CR29" s="596"/>
      <c r="CS29" s="596"/>
      <c r="CT29" s="596"/>
      <c r="CU29" s="596"/>
      <c r="CV29" s="596"/>
      <c r="CW29" s="596"/>
      <c r="CX29" s="596"/>
      <c r="CY29" s="596"/>
      <c r="CZ29" s="596"/>
      <c r="DA29" s="596"/>
      <c r="DB29" s="596"/>
      <c r="DC29" s="596"/>
      <c r="DD29" s="596"/>
      <c r="DE29" s="596"/>
      <c r="DF29" s="596"/>
      <c r="DG29" s="596"/>
      <c r="DH29" s="596"/>
      <c r="DI29" s="596"/>
      <c r="DJ29" s="596"/>
      <c r="DK29" s="596"/>
      <c r="DL29" s="596"/>
      <c r="DM29" s="596"/>
      <c r="DN29" s="596"/>
      <c r="DO29" s="596"/>
      <c r="DP29" s="596"/>
      <c r="DQ29" s="596"/>
      <c r="DR29" s="596"/>
      <c r="DS29" s="596"/>
      <c r="DT29" s="596"/>
      <c r="DU29" s="596"/>
      <c r="DV29" s="596"/>
      <c r="DW29" s="596"/>
      <c r="DX29" s="596"/>
      <c r="DY29" s="596"/>
      <c r="DZ29" s="597"/>
    </row>
    <row r="30" spans="2:155" ht="20.100000000000001" customHeight="1">
      <c r="B30" s="590"/>
      <c r="C30" s="591"/>
      <c r="D30" s="591"/>
      <c r="E30" s="591"/>
      <c r="F30" s="592"/>
      <c r="G30" s="554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472"/>
      <c r="Y30" s="472"/>
      <c r="Z30" s="472"/>
      <c r="AA30" s="472"/>
      <c r="AB30" s="472"/>
      <c r="AC30" s="595"/>
      <c r="AD30" s="595"/>
      <c r="AE30" s="595"/>
      <c r="AF30" s="595"/>
      <c r="AG30" s="595"/>
      <c r="AH30" s="595"/>
      <c r="AI30" s="595"/>
      <c r="AJ30" s="595"/>
      <c r="AK30" s="595"/>
      <c r="AL30" s="595"/>
      <c r="AM30" s="595"/>
      <c r="AN30" s="595"/>
      <c r="AO30" s="595"/>
      <c r="AP30" s="595"/>
      <c r="AQ30" s="596" t="s">
        <v>193</v>
      </c>
      <c r="AR30" s="596"/>
      <c r="AS30" s="596"/>
      <c r="AT30" s="596"/>
      <c r="AU30" s="596"/>
      <c r="AV30" s="596"/>
      <c r="AW30" s="596"/>
      <c r="AX30" s="596"/>
      <c r="AY30" s="596"/>
      <c r="AZ30" s="596"/>
      <c r="BA30" s="596"/>
      <c r="BB30" s="596"/>
      <c r="BC30" s="596"/>
      <c r="BD30" s="596"/>
      <c r="BE30" s="596"/>
      <c r="BF30" s="596"/>
      <c r="BG30" s="596"/>
      <c r="BH30" s="596"/>
      <c r="BI30" s="596"/>
      <c r="BJ30" s="596"/>
      <c r="BK30" s="596"/>
      <c r="BL30" s="596"/>
      <c r="BM30" s="596"/>
      <c r="BN30" s="596"/>
      <c r="BO30" s="596"/>
      <c r="BP30" s="596"/>
      <c r="BQ30" s="596"/>
      <c r="BR30" s="596"/>
      <c r="BS30" s="596"/>
      <c r="BT30" s="596"/>
      <c r="BU30" s="596"/>
      <c r="BV30" s="596"/>
      <c r="BW30" s="596"/>
      <c r="BX30" s="596"/>
      <c r="BY30" s="596"/>
      <c r="BZ30" s="596"/>
      <c r="CA30" s="596"/>
      <c r="CB30" s="596"/>
      <c r="CC30" s="596"/>
      <c r="CD30" s="596"/>
      <c r="CE30" s="596"/>
      <c r="CF30" s="596"/>
      <c r="CG30" s="596"/>
      <c r="CH30" s="596"/>
      <c r="CI30" s="596"/>
      <c r="CJ30" s="596"/>
      <c r="CK30" s="596"/>
      <c r="CL30" s="596"/>
      <c r="CM30" s="596"/>
      <c r="CN30" s="596"/>
      <c r="CO30" s="596"/>
      <c r="CP30" s="596"/>
      <c r="CQ30" s="596"/>
      <c r="CR30" s="596"/>
      <c r="CS30" s="596"/>
      <c r="CT30" s="596"/>
      <c r="CU30" s="596"/>
      <c r="CV30" s="596"/>
      <c r="CW30" s="596"/>
      <c r="CX30" s="596"/>
      <c r="CY30" s="596"/>
      <c r="CZ30" s="596"/>
      <c r="DA30" s="596"/>
      <c r="DB30" s="596"/>
      <c r="DC30" s="596"/>
      <c r="DD30" s="596"/>
      <c r="DE30" s="596"/>
      <c r="DF30" s="596"/>
      <c r="DG30" s="596"/>
      <c r="DH30" s="596"/>
      <c r="DI30" s="596"/>
      <c r="DJ30" s="596"/>
      <c r="DK30" s="596"/>
      <c r="DL30" s="596"/>
      <c r="DM30" s="596"/>
      <c r="DN30" s="596"/>
      <c r="DO30" s="596"/>
      <c r="DP30" s="596"/>
      <c r="DQ30" s="596"/>
      <c r="DR30" s="596"/>
      <c r="DS30" s="596"/>
      <c r="DT30" s="596"/>
      <c r="DU30" s="596"/>
      <c r="DV30" s="596"/>
      <c r="DW30" s="596"/>
      <c r="DX30" s="596"/>
      <c r="DY30" s="596"/>
      <c r="DZ30" s="597"/>
    </row>
    <row r="31" spans="2:155" ht="20.100000000000001" customHeight="1">
      <c r="B31" s="590"/>
      <c r="C31" s="591"/>
      <c r="D31" s="591"/>
      <c r="E31" s="591"/>
      <c r="F31" s="592"/>
      <c r="G31" s="554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472"/>
      <c r="Y31" s="472"/>
      <c r="Z31" s="472"/>
      <c r="AA31" s="472"/>
      <c r="AB31" s="472"/>
      <c r="AC31" s="595"/>
      <c r="AD31" s="595"/>
      <c r="AE31" s="595"/>
      <c r="AF31" s="595"/>
      <c r="AG31" s="595"/>
      <c r="AH31" s="595"/>
      <c r="AI31" s="595"/>
      <c r="AJ31" s="595"/>
      <c r="AK31" s="595"/>
      <c r="AL31" s="595"/>
      <c r="AM31" s="595"/>
      <c r="AN31" s="595"/>
      <c r="AO31" s="595"/>
      <c r="AP31" s="595"/>
      <c r="AQ31" s="596" t="s">
        <v>193</v>
      </c>
      <c r="AR31" s="596"/>
      <c r="AS31" s="596"/>
      <c r="AT31" s="596"/>
      <c r="AU31" s="596"/>
      <c r="AV31" s="596"/>
      <c r="AW31" s="596"/>
      <c r="AX31" s="596"/>
      <c r="AY31" s="596"/>
      <c r="AZ31" s="596"/>
      <c r="BA31" s="596"/>
      <c r="BB31" s="596"/>
      <c r="BC31" s="596"/>
      <c r="BD31" s="596"/>
      <c r="BE31" s="596"/>
      <c r="BF31" s="596"/>
      <c r="BG31" s="596"/>
      <c r="BH31" s="596"/>
      <c r="BI31" s="596"/>
      <c r="BJ31" s="596"/>
      <c r="BK31" s="596"/>
      <c r="BL31" s="596"/>
      <c r="BM31" s="596"/>
      <c r="BN31" s="596"/>
      <c r="BO31" s="596"/>
      <c r="BP31" s="596"/>
      <c r="BQ31" s="596"/>
      <c r="BR31" s="596"/>
      <c r="BS31" s="596"/>
      <c r="BT31" s="596"/>
      <c r="BU31" s="596"/>
      <c r="BV31" s="596"/>
      <c r="BW31" s="596"/>
      <c r="BX31" s="596"/>
      <c r="BY31" s="596"/>
      <c r="BZ31" s="596"/>
      <c r="CA31" s="596"/>
      <c r="CB31" s="596"/>
      <c r="CC31" s="596"/>
      <c r="CD31" s="596"/>
      <c r="CE31" s="596"/>
      <c r="CF31" s="596"/>
      <c r="CG31" s="596"/>
      <c r="CH31" s="596"/>
      <c r="CI31" s="596"/>
      <c r="CJ31" s="596"/>
      <c r="CK31" s="596"/>
      <c r="CL31" s="596"/>
      <c r="CM31" s="596"/>
      <c r="CN31" s="596"/>
      <c r="CO31" s="596"/>
      <c r="CP31" s="596"/>
      <c r="CQ31" s="596"/>
      <c r="CR31" s="596"/>
      <c r="CS31" s="596"/>
      <c r="CT31" s="596"/>
      <c r="CU31" s="596"/>
      <c r="CV31" s="596"/>
      <c r="CW31" s="596"/>
      <c r="CX31" s="596"/>
      <c r="CY31" s="596"/>
      <c r="CZ31" s="596"/>
      <c r="DA31" s="596"/>
      <c r="DB31" s="596"/>
      <c r="DC31" s="596"/>
      <c r="DD31" s="596"/>
      <c r="DE31" s="596"/>
      <c r="DF31" s="596"/>
      <c r="DG31" s="596"/>
      <c r="DH31" s="596"/>
      <c r="DI31" s="596"/>
      <c r="DJ31" s="596"/>
      <c r="DK31" s="596"/>
      <c r="DL31" s="596"/>
      <c r="DM31" s="596"/>
      <c r="DN31" s="596"/>
      <c r="DO31" s="596"/>
      <c r="DP31" s="596"/>
      <c r="DQ31" s="596"/>
      <c r="DR31" s="596"/>
      <c r="DS31" s="596"/>
      <c r="DT31" s="596"/>
      <c r="DU31" s="596"/>
      <c r="DV31" s="596"/>
      <c r="DW31" s="596"/>
      <c r="DX31" s="596"/>
      <c r="DY31" s="596"/>
      <c r="DZ31" s="597"/>
    </row>
    <row r="32" spans="2:155" ht="20.100000000000001" customHeight="1" thickBot="1">
      <c r="B32" s="541"/>
      <c r="C32" s="481"/>
      <c r="D32" s="481"/>
      <c r="E32" s="481"/>
      <c r="F32" s="542"/>
      <c r="G32" s="574"/>
      <c r="H32" s="533"/>
      <c r="I32" s="533"/>
      <c r="J32" s="533"/>
      <c r="K32" s="533"/>
      <c r="L32" s="533"/>
      <c r="M32" s="533"/>
      <c r="N32" s="533"/>
      <c r="O32" s="533"/>
      <c r="P32" s="533"/>
      <c r="Q32" s="533"/>
      <c r="R32" s="533"/>
      <c r="S32" s="533"/>
      <c r="T32" s="533"/>
      <c r="U32" s="533"/>
      <c r="V32" s="533"/>
      <c r="W32" s="533"/>
      <c r="X32" s="473"/>
      <c r="Y32" s="473"/>
      <c r="Z32" s="473"/>
      <c r="AA32" s="473"/>
      <c r="AB32" s="473"/>
      <c r="AC32" s="598"/>
      <c r="AD32" s="598"/>
      <c r="AE32" s="598"/>
      <c r="AF32" s="598"/>
      <c r="AG32" s="598"/>
      <c r="AH32" s="598"/>
      <c r="AI32" s="598"/>
      <c r="AJ32" s="598"/>
      <c r="AK32" s="598"/>
      <c r="AL32" s="598"/>
      <c r="AM32" s="598"/>
      <c r="AN32" s="598"/>
      <c r="AO32" s="598"/>
      <c r="AP32" s="598"/>
      <c r="AQ32" s="635" t="s">
        <v>193</v>
      </c>
      <c r="AR32" s="635"/>
      <c r="AS32" s="635"/>
      <c r="AT32" s="635"/>
      <c r="AU32" s="635"/>
      <c r="AV32" s="635"/>
      <c r="AW32" s="635"/>
      <c r="AX32" s="635"/>
      <c r="AY32" s="635"/>
      <c r="AZ32" s="635"/>
      <c r="BA32" s="635"/>
      <c r="BB32" s="635"/>
      <c r="BC32" s="635"/>
      <c r="BD32" s="635"/>
      <c r="BE32" s="635"/>
      <c r="BF32" s="635"/>
      <c r="BG32" s="635"/>
      <c r="BH32" s="635"/>
      <c r="BI32" s="635"/>
      <c r="BJ32" s="635"/>
      <c r="BK32" s="635"/>
      <c r="BL32" s="635"/>
      <c r="BM32" s="635"/>
      <c r="BN32" s="635"/>
      <c r="BO32" s="635"/>
      <c r="BP32" s="635"/>
      <c r="BQ32" s="635"/>
      <c r="BR32" s="635"/>
      <c r="BS32" s="635"/>
      <c r="BT32" s="635"/>
      <c r="BU32" s="635"/>
      <c r="BV32" s="635"/>
      <c r="BW32" s="635"/>
      <c r="BX32" s="635"/>
      <c r="BY32" s="635"/>
      <c r="BZ32" s="635"/>
      <c r="CA32" s="635"/>
      <c r="CB32" s="635"/>
      <c r="CC32" s="635"/>
      <c r="CD32" s="635"/>
      <c r="CE32" s="635"/>
      <c r="CF32" s="635"/>
      <c r="CG32" s="635"/>
      <c r="CH32" s="635"/>
      <c r="CI32" s="635"/>
      <c r="CJ32" s="635"/>
      <c r="CK32" s="635"/>
      <c r="CL32" s="635"/>
      <c r="CM32" s="635"/>
      <c r="CN32" s="635"/>
      <c r="CO32" s="635"/>
      <c r="CP32" s="635"/>
      <c r="CQ32" s="635"/>
      <c r="CR32" s="635"/>
      <c r="CS32" s="635"/>
      <c r="CT32" s="635"/>
      <c r="CU32" s="635"/>
      <c r="CV32" s="635"/>
      <c r="CW32" s="635"/>
      <c r="CX32" s="635"/>
      <c r="CY32" s="635"/>
      <c r="CZ32" s="635"/>
      <c r="DA32" s="635"/>
      <c r="DB32" s="635"/>
      <c r="DC32" s="635"/>
      <c r="DD32" s="635"/>
      <c r="DE32" s="635"/>
      <c r="DF32" s="635"/>
      <c r="DG32" s="635"/>
      <c r="DH32" s="635"/>
      <c r="DI32" s="635"/>
      <c r="DJ32" s="635"/>
      <c r="DK32" s="635"/>
      <c r="DL32" s="635"/>
      <c r="DM32" s="635"/>
      <c r="DN32" s="635"/>
      <c r="DO32" s="635"/>
      <c r="DP32" s="635"/>
      <c r="DQ32" s="635"/>
      <c r="DR32" s="635"/>
      <c r="DS32" s="635"/>
      <c r="DT32" s="635"/>
      <c r="DU32" s="635"/>
      <c r="DV32" s="635"/>
      <c r="DW32" s="635"/>
      <c r="DX32" s="635"/>
      <c r="DY32" s="635"/>
      <c r="DZ32" s="636"/>
    </row>
    <row r="33" spans="2:130" ht="20.100000000000001" customHeight="1">
      <c r="B33" s="538" t="s">
        <v>10</v>
      </c>
      <c r="C33" s="539"/>
      <c r="D33" s="539"/>
      <c r="E33" s="539"/>
      <c r="F33" s="540"/>
      <c r="G33" s="543"/>
      <c r="H33" s="544"/>
      <c r="I33" s="544"/>
      <c r="J33" s="544"/>
      <c r="K33" s="544"/>
      <c r="L33" s="545"/>
      <c r="M33" s="549"/>
      <c r="N33" s="495"/>
      <c r="O33" s="495"/>
      <c r="P33" s="495"/>
      <c r="Q33" s="495"/>
      <c r="R33" s="495"/>
      <c r="S33" s="495"/>
      <c r="T33" s="495"/>
      <c r="U33" s="495"/>
      <c r="V33" s="495"/>
      <c r="W33" s="495"/>
      <c r="X33" s="495"/>
      <c r="Y33" s="495"/>
      <c r="Z33" s="495"/>
      <c r="AA33" s="495"/>
      <c r="AB33" s="495"/>
      <c r="AC33" s="495"/>
      <c r="AD33" s="495"/>
      <c r="AE33" s="495"/>
      <c r="AF33" s="495"/>
      <c r="AG33" s="495"/>
      <c r="AH33" s="495"/>
      <c r="AI33" s="495"/>
      <c r="AJ33" s="495"/>
      <c r="AK33" s="495"/>
      <c r="AL33" s="495"/>
      <c r="AM33" s="495"/>
      <c r="AN33" s="495"/>
      <c r="AO33" s="495"/>
      <c r="AP33" s="495"/>
      <c r="AQ33" s="495"/>
      <c r="AR33" s="495"/>
      <c r="AS33" s="495"/>
      <c r="AT33" s="495"/>
      <c r="AU33" s="495"/>
      <c r="AV33" s="495"/>
      <c r="AW33" s="495"/>
      <c r="AX33" s="495"/>
      <c r="AY33" s="495"/>
      <c r="AZ33" s="495"/>
      <c r="BA33" s="495"/>
      <c r="BB33" s="495"/>
      <c r="BC33" s="495"/>
      <c r="BD33" s="495"/>
      <c r="BE33" s="495"/>
      <c r="BF33" s="495"/>
      <c r="BG33" s="495"/>
      <c r="BH33" s="495"/>
      <c r="BI33" s="495"/>
      <c r="BJ33" s="495"/>
      <c r="BK33" s="495"/>
      <c r="BL33" s="495"/>
      <c r="BM33" s="495"/>
      <c r="BN33" s="495"/>
      <c r="BO33" s="495"/>
      <c r="BP33" s="495"/>
      <c r="BQ33" s="495"/>
      <c r="BR33" s="495"/>
      <c r="BS33" s="495"/>
      <c r="BT33" s="495"/>
      <c r="BU33" s="495"/>
      <c r="BV33" s="495"/>
      <c r="BW33" s="495"/>
      <c r="BX33" s="495"/>
      <c r="BY33" s="495"/>
      <c r="BZ33" s="495"/>
      <c r="CA33" s="495"/>
      <c r="CB33" s="495"/>
      <c r="CC33" s="495"/>
      <c r="CD33" s="495"/>
      <c r="CE33" s="495"/>
      <c r="CF33" s="495"/>
      <c r="CG33" s="495"/>
      <c r="CH33" s="495"/>
      <c r="CI33" s="495"/>
      <c r="CJ33" s="495"/>
      <c r="CK33" s="495"/>
      <c r="CL33" s="495"/>
      <c r="CM33" s="495"/>
      <c r="CN33" s="495"/>
      <c r="CO33" s="495"/>
      <c r="CP33" s="495"/>
      <c r="CQ33" s="495"/>
      <c r="CR33" s="495"/>
      <c r="CS33" s="495"/>
      <c r="CT33" s="495"/>
      <c r="CU33" s="495"/>
      <c r="CV33" s="495"/>
      <c r="CW33" s="495"/>
      <c r="CX33" s="495"/>
      <c r="CY33" s="495"/>
      <c r="CZ33" s="495"/>
      <c r="DA33" s="495"/>
      <c r="DB33" s="495"/>
      <c r="DC33" s="495"/>
      <c r="DD33" s="495"/>
      <c r="DE33" s="495"/>
      <c r="DF33" s="495"/>
      <c r="DG33" s="495"/>
      <c r="DH33" s="495"/>
      <c r="DI33" s="495"/>
      <c r="DJ33" s="495"/>
      <c r="DK33" s="495"/>
      <c r="DL33" s="495"/>
      <c r="DM33" s="495"/>
      <c r="DN33" s="495"/>
      <c r="DO33" s="495"/>
      <c r="DP33" s="495"/>
      <c r="DQ33" s="495"/>
      <c r="DR33" s="495"/>
      <c r="DS33" s="495"/>
      <c r="DT33" s="495"/>
      <c r="DU33" s="495"/>
      <c r="DV33" s="495"/>
      <c r="DW33" s="495"/>
      <c r="DX33" s="495"/>
      <c r="DY33" s="495"/>
      <c r="DZ33" s="496"/>
    </row>
    <row r="34" spans="2:130" ht="20.100000000000001" customHeight="1" thickBot="1">
      <c r="B34" s="541"/>
      <c r="C34" s="481"/>
      <c r="D34" s="481"/>
      <c r="E34" s="481"/>
      <c r="F34" s="542"/>
      <c r="G34" s="546"/>
      <c r="H34" s="547"/>
      <c r="I34" s="547"/>
      <c r="J34" s="547"/>
      <c r="K34" s="547"/>
      <c r="L34" s="548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50"/>
    </row>
    <row r="35" spans="2:130" ht="20.100000000000001" customHeight="1">
      <c r="B35" s="556" t="s">
        <v>67</v>
      </c>
      <c r="C35" s="557"/>
      <c r="D35" s="557"/>
      <c r="E35" s="557"/>
      <c r="F35" s="557"/>
      <c r="G35" s="543" t="s">
        <v>149</v>
      </c>
      <c r="H35" s="544"/>
      <c r="I35" s="544"/>
      <c r="J35" s="544"/>
      <c r="K35" s="544"/>
      <c r="L35" s="562"/>
      <c r="M35" s="522">
        <v>40452</v>
      </c>
      <c r="N35" s="523"/>
      <c r="O35" s="523"/>
      <c r="P35" s="524"/>
      <c r="Q35" s="527">
        <f t="shared" ref="Q35:Q41" si="0">WEEKDAY(M35,1)</f>
        <v>6</v>
      </c>
      <c r="R35" s="528"/>
      <c r="S35" s="513"/>
      <c r="T35" s="514"/>
      <c r="U35" s="514"/>
      <c r="V35" s="514"/>
      <c r="W35" s="514"/>
      <c r="X35" s="514"/>
      <c r="Y35" s="514"/>
      <c r="Z35" s="515"/>
      <c r="AA35" s="522">
        <f>M41+1</f>
        <v>40459</v>
      </c>
      <c r="AB35" s="523"/>
      <c r="AC35" s="523"/>
      <c r="AD35" s="524"/>
      <c r="AE35" s="527">
        <f t="shared" ref="AE35:AE41" si="1">WEEKDAY(AA35,1)</f>
        <v>6</v>
      </c>
      <c r="AF35" s="528"/>
      <c r="AG35" s="513"/>
      <c r="AH35" s="514"/>
      <c r="AI35" s="514"/>
      <c r="AJ35" s="514"/>
      <c r="AK35" s="514"/>
      <c r="AL35" s="514"/>
      <c r="AM35" s="514"/>
      <c r="AN35" s="515"/>
      <c r="AO35" s="522">
        <f>AA41+1</f>
        <v>40466</v>
      </c>
      <c r="AP35" s="523"/>
      <c r="AQ35" s="523"/>
      <c r="AR35" s="524"/>
      <c r="AS35" s="527">
        <f t="shared" ref="AS35:AS41" si="2">WEEKDAY(AO35,1)</f>
        <v>6</v>
      </c>
      <c r="AT35" s="528"/>
      <c r="AU35" s="513"/>
      <c r="AV35" s="514"/>
      <c r="AW35" s="514"/>
      <c r="AX35" s="514"/>
      <c r="AY35" s="514"/>
      <c r="AZ35" s="514"/>
      <c r="BA35" s="514"/>
      <c r="BB35" s="515"/>
      <c r="BC35" s="522">
        <f>AO41+1</f>
        <v>40473</v>
      </c>
      <c r="BD35" s="523"/>
      <c r="BE35" s="523"/>
      <c r="BF35" s="524"/>
      <c r="BG35" s="527">
        <f t="shared" ref="BG35:BG41" si="3">WEEKDAY(BC35,1)</f>
        <v>6</v>
      </c>
      <c r="BH35" s="528"/>
      <c r="BI35" s="513"/>
      <c r="BJ35" s="514"/>
      <c r="BK35" s="514"/>
      <c r="BL35" s="514"/>
      <c r="BM35" s="514"/>
      <c r="BN35" s="514"/>
      <c r="BO35" s="514"/>
      <c r="BP35" s="515"/>
      <c r="BQ35" s="522">
        <f>BC41+1</f>
        <v>40480</v>
      </c>
      <c r="BR35" s="523"/>
      <c r="BS35" s="523"/>
      <c r="BT35" s="524"/>
      <c r="BU35" s="527">
        <f t="shared" ref="BU35:BU41" si="4">WEEKDAY(BQ35,1)</f>
        <v>6</v>
      </c>
      <c r="BV35" s="528"/>
      <c r="BW35" s="513"/>
      <c r="BX35" s="514"/>
      <c r="BY35" s="514"/>
      <c r="BZ35" s="514"/>
      <c r="CA35" s="514"/>
      <c r="CB35" s="514"/>
      <c r="CC35" s="514"/>
      <c r="CD35" s="515"/>
      <c r="CE35" s="522">
        <f>BQ41+1</f>
        <v>40487</v>
      </c>
      <c r="CF35" s="523"/>
      <c r="CG35" s="523"/>
      <c r="CH35" s="524"/>
      <c r="CI35" s="527">
        <f t="shared" ref="CI35:CI41" si="5">WEEKDAY(CE35,1)</f>
        <v>6</v>
      </c>
      <c r="CJ35" s="528"/>
      <c r="CK35" s="513"/>
      <c r="CL35" s="514"/>
      <c r="CM35" s="514"/>
      <c r="CN35" s="514"/>
      <c r="CO35" s="514"/>
      <c r="CP35" s="514"/>
      <c r="CQ35" s="514"/>
      <c r="CR35" s="515"/>
      <c r="CS35" s="30"/>
      <c r="CT35" s="551" t="s">
        <v>42</v>
      </c>
      <c r="CU35" s="552"/>
      <c r="CV35" s="552"/>
      <c r="CW35" s="552"/>
      <c r="CX35" s="552"/>
      <c r="CY35" s="552"/>
      <c r="CZ35" s="552"/>
      <c r="DA35" s="552"/>
      <c r="DB35" s="552"/>
      <c r="DC35" s="552"/>
      <c r="DD35" s="552"/>
      <c r="DE35" s="552"/>
      <c r="DF35" s="552"/>
      <c r="DG35" s="552"/>
      <c r="DH35" s="552"/>
      <c r="DI35" s="552"/>
      <c r="DJ35" s="552"/>
      <c r="DK35" s="552"/>
      <c r="DL35" s="552"/>
      <c r="DM35" s="552"/>
      <c r="DN35" s="552"/>
      <c r="DO35" s="552"/>
      <c r="DP35" s="552"/>
      <c r="DQ35" s="552"/>
      <c r="DR35" s="552"/>
      <c r="DS35" s="552"/>
      <c r="DT35" s="552"/>
      <c r="DU35" s="552"/>
      <c r="DV35" s="552"/>
      <c r="DW35" s="552"/>
      <c r="DX35" s="552"/>
      <c r="DY35" s="552"/>
      <c r="DZ35" s="553"/>
    </row>
    <row r="36" spans="2:130" ht="20.100000000000001" customHeight="1">
      <c r="B36" s="558"/>
      <c r="C36" s="559"/>
      <c r="D36" s="559"/>
      <c r="E36" s="559"/>
      <c r="F36" s="559"/>
      <c r="G36" s="563"/>
      <c r="H36" s="564"/>
      <c r="I36" s="564"/>
      <c r="J36" s="564"/>
      <c r="K36" s="564"/>
      <c r="L36" s="565"/>
      <c r="M36" s="522">
        <f t="shared" ref="M36:M41" si="6">M35+1</f>
        <v>40453</v>
      </c>
      <c r="N36" s="523"/>
      <c r="O36" s="523"/>
      <c r="P36" s="524"/>
      <c r="Q36" s="525">
        <f t="shared" si="0"/>
        <v>7</v>
      </c>
      <c r="R36" s="526"/>
      <c r="S36" s="513"/>
      <c r="T36" s="514"/>
      <c r="U36" s="514"/>
      <c r="V36" s="514"/>
      <c r="W36" s="514"/>
      <c r="X36" s="514"/>
      <c r="Y36" s="514"/>
      <c r="Z36" s="515"/>
      <c r="AA36" s="522">
        <f t="shared" ref="AA36:AA41" si="7">AA35+1</f>
        <v>40460</v>
      </c>
      <c r="AB36" s="523"/>
      <c r="AC36" s="523"/>
      <c r="AD36" s="524"/>
      <c r="AE36" s="525">
        <f t="shared" si="1"/>
        <v>7</v>
      </c>
      <c r="AF36" s="526"/>
      <c r="AG36" s="513"/>
      <c r="AH36" s="514"/>
      <c r="AI36" s="514"/>
      <c r="AJ36" s="514"/>
      <c r="AK36" s="514"/>
      <c r="AL36" s="514"/>
      <c r="AM36" s="514"/>
      <c r="AN36" s="515"/>
      <c r="AO36" s="522">
        <f t="shared" ref="AO36:AO41" si="8">AO35+1</f>
        <v>40467</v>
      </c>
      <c r="AP36" s="523"/>
      <c r="AQ36" s="523"/>
      <c r="AR36" s="524"/>
      <c r="AS36" s="525">
        <f t="shared" si="2"/>
        <v>7</v>
      </c>
      <c r="AT36" s="526"/>
      <c r="AU36" s="513"/>
      <c r="AV36" s="514"/>
      <c r="AW36" s="514"/>
      <c r="AX36" s="514"/>
      <c r="AY36" s="514"/>
      <c r="AZ36" s="514"/>
      <c r="BA36" s="514"/>
      <c r="BB36" s="515"/>
      <c r="BC36" s="522">
        <f t="shared" ref="BC36:BC41" si="9">BC35+1</f>
        <v>40474</v>
      </c>
      <c r="BD36" s="523"/>
      <c r="BE36" s="523"/>
      <c r="BF36" s="524"/>
      <c r="BG36" s="525">
        <f t="shared" si="3"/>
        <v>7</v>
      </c>
      <c r="BH36" s="526"/>
      <c r="BI36" s="513"/>
      <c r="BJ36" s="514"/>
      <c r="BK36" s="514"/>
      <c r="BL36" s="514"/>
      <c r="BM36" s="514"/>
      <c r="BN36" s="514"/>
      <c r="BO36" s="514"/>
      <c r="BP36" s="515"/>
      <c r="BQ36" s="522">
        <f t="shared" ref="BQ36:BQ41" si="10">BQ35+1</f>
        <v>40481</v>
      </c>
      <c r="BR36" s="523"/>
      <c r="BS36" s="523"/>
      <c r="BT36" s="524"/>
      <c r="BU36" s="525">
        <f t="shared" si="4"/>
        <v>7</v>
      </c>
      <c r="BV36" s="526"/>
      <c r="BW36" s="513"/>
      <c r="BX36" s="514"/>
      <c r="BY36" s="514"/>
      <c r="BZ36" s="514"/>
      <c r="CA36" s="514"/>
      <c r="CB36" s="514"/>
      <c r="CC36" s="514"/>
      <c r="CD36" s="515"/>
      <c r="CE36" s="522">
        <f t="shared" ref="CE36:CE41" si="11">CE35+1</f>
        <v>40488</v>
      </c>
      <c r="CF36" s="523"/>
      <c r="CG36" s="523"/>
      <c r="CH36" s="524"/>
      <c r="CI36" s="525">
        <f t="shared" si="5"/>
        <v>7</v>
      </c>
      <c r="CJ36" s="526"/>
      <c r="CK36" s="513"/>
      <c r="CL36" s="514"/>
      <c r="CM36" s="514"/>
      <c r="CN36" s="514"/>
      <c r="CO36" s="514"/>
      <c r="CP36" s="514"/>
      <c r="CQ36" s="514"/>
      <c r="CR36" s="515"/>
      <c r="CS36" s="31"/>
      <c r="CT36" s="529"/>
      <c r="CU36" s="530"/>
      <c r="CV36" s="530"/>
      <c r="CW36" s="530"/>
      <c r="CX36" s="530"/>
      <c r="CY36" s="530"/>
      <c r="CZ36" s="530"/>
      <c r="DA36" s="530"/>
      <c r="DB36" s="530"/>
      <c r="DC36" s="530"/>
      <c r="DD36" s="530"/>
      <c r="DE36" s="530"/>
      <c r="DF36" s="530"/>
      <c r="DG36" s="530"/>
      <c r="DH36" s="530"/>
      <c r="DI36" s="530"/>
      <c r="DJ36" s="530"/>
      <c r="DK36" s="530"/>
      <c r="DL36" s="530"/>
      <c r="DM36" s="530"/>
      <c r="DN36" s="530"/>
      <c r="DO36" s="530"/>
      <c r="DP36" s="530"/>
      <c r="DQ36" s="530"/>
      <c r="DR36" s="530"/>
      <c r="DS36" s="530"/>
      <c r="DT36" s="530"/>
      <c r="DU36" s="530"/>
      <c r="DV36" s="530"/>
      <c r="DW36" s="530"/>
      <c r="DX36" s="530"/>
      <c r="DY36" s="530"/>
      <c r="DZ36" s="531"/>
    </row>
    <row r="37" spans="2:130" ht="20.100000000000001" customHeight="1">
      <c r="B37" s="558"/>
      <c r="C37" s="559"/>
      <c r="D37" s="559"/>
      <c r="E37" s="559"/>
      <c r="F37" s="559"/>
      <c r="G37" s="355"/>
      <c r="H37" s="356"/>
      <c r="I37" s="356"/>
      <c r="J37" s="356"/>
      <c r="K37" s="356"/>
      <c r="L37" s="357"/>
      <c r="M37" s="522">
        <f t="shared" si="6"/>
        <v>40454</v>
      </c>
      <c r="N37" s="523"/>
      <c r="O37" s="523"/>
      <c r="P37" s="524"/>
      <c r="Q37" s="525">
        <f t="shared" si="0"/>
        <v>1</v>
      </c>
      <c r="R37" s="526"/>
      <c r="S37" s="513"/>
      <c r="T37" s="514"/>
      <c r="U37" s="514"/>
      <c r="V37" s="514"/>
      <c r="W37" s="514"/>
      <c r="X37" s="514"/>
      <c r="Y37" s="514"/>
      <c r="Z37" s="515"/>
      <c r="AA37" s="522">
        <f t="shared" si="7"/>
        <v>40461</v>
      </c>
      <c r="AB37" s="523"/>
      <c r="AC37" s="523"/>
      <c r="AD37" s="524"/>
      <c r="AE37" s="525">
        <f t="shared" si="1"/>
        <v>1</v>
      </c>
      <c r="AF37" s="526"/>
      <c r="AG37" s="513"/>
      <c r="AH37" s="514"/>
      <c r="AI37" s="514"/>
      <c r="AJ37" s="514"/>
      <c r="AK37" s="514"/>
      <c r="AL37" s="514"/>
      <c r="AM37" s="514"/>
      <c r="AN37" s="515"/>
      <c r="AO37" s="522">
        <f t="shared" si="8"/>
        <v>40468</v>
      </c>
      <c r="AP37" s="523"/>
      <c r="AQ37" s="523"/>
      <c r="AR37" s="524"/>
      <c r="AS37" s="525">
        <f t="shared" si="2"/>
        <v>1</v>
      </c>
      <c r="AT37" s="526"/>
      <c r="AU37" s="513"/>
      <c r="AV37" s="514"/>
      <c r="AW37" s="514"/>
      <c r="AX37" s="514"/>
      <c r="AY37" s="514"/>
      <c r="AZ37" s="514"/>
      <c r="BA37" s="514"/>
      <c r="BB37" s="515"/>
      <c r="BC37" s="522">
        <f t="shared" si="9"/>
        <v>40475</v>
      </c>
      <c r="BD37" s="523"/>
      <c r="BE37" s="523"/>
      <c r="BF37" s="524"/>
      <c r="BG37" s="525">
        <f t="shared" si="3"/>
        <v>1</v>
      </c>
      <c r="BH37" s="526"/>
      <c r="BI37" s="513"/>
      <c r="BJ37" s="514"/>
      <c r="BK37" s="514"/>
      <c r="BL37" s="514"/>
      <c r="BM37" s="514"/>
      <c r="BN37" s="514"/>
      <c r="BO37" s="514"/>
      <c r="BP37" s="515"/>
      <c r="BQ37" s="522">
        <f t="shared" si="10"/>
        <v>40482</v>
      </c>
      <c r="BR37" s="523"/>
      <c r="BS37" s="523"/>
      <c r="BT37" s="524"/>
      <c r="BU37" s="525">
        <f t="shared" si="4"/>
        <v>1</v>
      </c>
      <c r="BV37" s="526"/>
      <c r="BW37" s="513"/>
      <c r="BX37" s="514"/>
      <c r="BY37" s="514"/>
      <c r="BZ37" s="514"/>
      <c r="CA37" s="514"/>
      <c r="CB37" s="514"/>
      <c r="CC37" s="514"/>
      <c r="CD37" s="515"/>
      <c r="CE37" s="522">
        <f t="shared" si="11"/>
        <v>40489</v>
      </c>
      <c r="CF37" s="523"/>
      <c r="CG37" s="523"/>
      <c r="CH37" s="524"/>
      <c r="CI37" s="525">
        <f t="shared" si="5"/>
        <v>1</v>
      </c>
      <c r="CJ37" s="526"/>
      <c r="CK37" s="513"/>
      <c r="CL37" s="514"/>
      <c r="CM37" s="514"/>
      <c r="CN37" s="514"/>
      <c r="CO37" s="514"/>
      <c r="CP37" s="514"/>
      <c r="CQ37" s="514"/>
      <c r="CR37" s="515"/>
      <c r="CS37" s="31"/>
      <c r="CT37" s="529"/>
      <c r="CU37" s="530"/>
      <c r="CV37" s="530"/>
      <c r="CW37" s="530"/>
      <c r="CX37" s="530"/>
      <c r="CY37" s="530"/>
      <c r="CZ37" s="530"/>
      <c r="DA37" s="530"/>
      <c r="DB37" s="530"/>
      <c r="DC37" s="530"/>
      <c r="DD37" s="530"/>
      <c r="DE37" s="530"/>
      <c r="DF37" s="530"/>
      <c r="DG37" s="530"/>
      <c r="DH37" s="530"/>
      <c r="DI37" s="530"/>
      <c r="DJ37" s="530"/>
      <c r="DK37" s="530"/>
      <c r="DL37" s="530"/>
      <c r="DM37" s="530"/>
      <c r="DN37" s="530"/>
      <c r="DO37" s="530"/>
      <c r="DP37" s="530"/>
      <c r="DQ37" s="530"/>
      <c r="DR37" s="530"/>
      <c r="DS37" s="530"/>
      <c r="DT37" s="530"/>
      <c r="DU37" s="530"/>
      <c r="DV37" s="530"/>
      <c r="DW37" s="530"/>
      <c r="DX37" s="530"/>
      <c r="DY37" s="530"/>
      <c r="DZ37" s="531"/>
    </row>
    <row r="38" spans="2:130" ht="20.100000000000001" customHeight="1">
      <c r="B38" s="558"/>
      <c r="C38" s="559"/>
      <c r="D38" s="559"/>
      <c r="E38" s="559"/>
      <c r="F38" s="559"/>
      <c r="G38" s="355"/>
      <c r="H38" s="356"/>
      <c r="I38" s="356"/>
      <c r="J38" s="356"/>
      <c r="K38" s="356"/>
      <c r="L38" s="357"/>
      <c r="M38" s="522">
        <f t="shared" si="6"/>
        <v>40455</v>
      </c>
      <c r="N38" s="523"/>
      <c r="O38" s="523"/>
      <c r="P38" s="524"/>
      <c r="Q38" s="525">
        <f t="shared" si="0"/>
        <v>2</v>
      </c>
      <c r="R38" s="526"/>
      <c r="S38" s="513"/>
      <c r="T38" s="514"/>
      <c r="U38" s="514"/>
      <c r="V38" s="514"/>
      <c r="W38" s="514"/>
      <c r="X38" s="514"/>
      <c r="Y38" s="514"/>
      <c r="Z38" s="515"/>
      <c r="AA38" s="522">
        <f t="shared" si="7"/>
        <v>40462</v>
      </c>
      <c r="AB38" s="523"/>
      <c r="AC38" s="523"/>
      <c r="AD38" s="524"/>
      <c r="AE38" s="525">
        <f t="shared" si="1"/>
        <v>2</v>
      </c>
      <c r="AF38" s="526"/>
      <c r="AG38" s="513"/>
      <c r="AH38" s="514"/>
      <c r="AI38" s="514"/>
      <c r="AJ38" s="514"/>
      <c r="AK38" s="514"/>
      <c r="AL38" s="514"/>
      <c r="AM38" s="514"/>
      <c r="AN38" s="515"/>
      <c r="AO38" s="522">
        <f t="shared" si="8"/>
        <v>40469</v>
      </c>
      <c r="AP38" s="523"/>
      <c r="AQ38" s="523"/>
      <c r="AR38" s="524"/>
      <c r="AS38" s="525">
        <f t="shared" si="2"/>
        <v>2</v>
      </c>
      <c r="AT38" s="526"/>
      <c r="AU38" s="513"/>
      <c r="AV38" s="514"/>
      <c r="AW38" s="514"/>
      <c r="AX38" s="514"/>
      <c r="AY38" s="514"/>
      <c r="AZ38" s="514"/>
      <c r="BA38" s="514"/>
      <c r="BB38" s="515"/>
      <c r="BC38" s="522">
        <f t="shared" si="9"/>
        <v>40476</v>
      </c>
      <c r="BD38" s="523"/>
      <c r="BE38" s="523"/>
      <c r="BF38" s="524"/>
      <c r="BG38" s="525">
        <f t="shared" si="3"/>
        <v>2</v>
      </c>
      <c r="BH38" s="526"/>
      <c r="BI38" s="513"/>
      <c r="BJ38" s="514"/>
      <c r="BK38" s="514"/>
      <c r="BL38" s="514"/>
      <c r="BM38" s="514"/>
      <c r="BN38" s="514"/>
      <c r="BO38" s="514"/>
      <c r="BP38" s="515"/>
      <c r="BQ38" s="522">
        <f t="shared" si="10"/>
        <v>40483</v>
      </c>
      <c r="BR38" s="523"/>
      <c r="BS38" s="523"/>
      <c r="BT38" s="524"/>
      <c r="BU38" s="525">
        <f t="shared" si="4"/>
        <v>2</v>
      </c>
      <c r="BV38" s="526"/>
      <c r="BW38" s="513"/>
      <c r="BX38" s="514"/>
      <c r="BY38" s="514"/>
      <c r="BZ38" s="514"/>
      <c r="CA38" s="514"/>
      <c r="CB38" s="514"/>
      <c r="CC38" s="514"/>
      <c r="CD38" s="515"/>
      <c r="CE38" s="522">
        <f t="shared" si="11"/>
        <v>40490</v>
      </c>
      <c r="CF38" s="523"/>
      <c r="CG38" s="523"/>
      <c r="CH38" s="524"/>
      <c r="CI38" s="525">
        <f t="shared" si="5"/>
        <v>2</v>
      </c>
      <c r="CJ38" s="526"/>
      <c r="CK38" s="513"/>
      <c r="CL38" s="514"/>
      <c r="CM38" s="514"/>
      <c r="CN38" s="514"/>
      <c r="CO38" s="514"/>
      <c r="CP38" s="514"/>
      <c r="CQ38" s="514"/>
      <c r="CR38" s="515"/>
      <c r="CS38" s="31"/>
      <c r="CT38" s="529"/>
      <c r="CU38" s="530"/>
      <c r="CV38" s="530"/>
      <c r="CW38" s="530"/>
      <c r="CX38" s="530"/>
      <c r="CY38" s="530"/>
      <c r="CZ38" s="530"/>
      <c r="DA38" s="530"/>
      <c r="DB38" s="530"/>
      <c r="DC38" s="530"/>
      <c r="DD38" s="530"/>
      <c r="DE38" s="530"/>
      <c r="DF38" s="530"/>
      <c r="DG38" s="530"/>
      <c r="DH38" s="530"/>
      <c r="DI38" s="530"/>
      <c r="DJ38" s="530"/>
      <c r="DK38" s="530"/>
      <c r="DL38" s="530"/>
      <c r="DM38" s="530"/>
      <c r="DN38" s="530"/>
      <c r="DO38" s="530"/>
      <c r="DP38" s="530"/>
      <c r="DQ38" s="530"/>
      <c r="DR38" s="530"/>
      <c r="DS38" s="530"/>
      <c r="DT38" s="530"/>
      <c r="DU38" s="530"/>
      <c r="DV38" s="530"/>
      <c r="DW38" s="530"/>
      <c r="DX38" s="530"/>
      <c r="DY38" s="530"/>
      <c r="DZ38" s="531"/>
    </row>
    <row r="39" spans="2:130" ht="20.100000000000001" customHeight="1">
      <c r="B39" s="558"/>
      <c r="C39" s="559"/>
      <c r="D39" s="559"/>
      <c r="E39" s="559"/>
      <c r="F39" s="559"/>
      <c r="G39" s="355"/>
      <c r="H39" s="356"/>
      <c r="I39" s="356"/>
      <c r="J39" s="356"/>
      <c r="K39" s="356"/>
      <c r="L39" s="357"/>
      <c r="M39" s="522">
        <f t="shared" si="6"/>
        <v>40456</v>
      </c>
      <c r="N39" s="523"/>
      <c r="O39" s="523"/>
      <c r="P39" s="524"/>
      <c r="Q39" s="525">
        <f t="shared" si="0"/>
        <v>3</v>
      </c>
      <c r="R39" s="526"/>
      <c r="S39" s="513"/>
      <c r="T39" s="514"/>
      <c r="U39" s="514"/>
      <c r="V39" s="514"/>
      <c r="W39" s="514"/>
      <c r="X39" s="514"/>
      <c r="Y39" s="514"/>
      <c r="Z39" s="515"/>
      <c r="AA39" s="522">
        <f t="shared" si="7"/>
        <v>40463</v>
      </c>
      <c r="AB39" s="523"/>
      <c r="AC39" s="523"/>
      <c r="AD39" s="524"/>
      <c r="AE39" s="525">
        <f t="shared" si="1"/>
        <v>3</v>
      </c>
      <c r="AF39" s="526"/>
      <c r="AG39" s="513"/>
      <c r="AH39" s="514"/>
      <c r="AI39" s="514"/>
      <c r="AJ39" s="514"/>
      <c r="AK39" s="514"/>
      <c r="AL39" s="514"/>
      <c r="AM39" s="514"/>
      <c r="AN39" s="515"/>
      <c r="AO39" s="522">
        <f t="shared" si="8"/>
        <v>40470</v>
      </c>
      <c r="AP39" s="523"/>
      <c r="AQ39" s="523"/>
      <c r="AR39" s="524"/>
      <c r="AS39" s="525">
        <f t="shared" si="2"/>
        <v>3</v>
      </c>
      <c r="AT39" s="526"/>
      <c r="AU39" s="513"/>
      <c r="AV39" s="514"/>
      <c r="AW39" s="514"/>
      <c r="AX39" s="514"/>
      <c r="AY39" s="514"/>
      <c r="AZ39" s="514"/>
      <c r="BA39" s="514"/>
      <c r="BB39" s="515"/>
      <c r="BC39" s="522">
        <f t="shared" si="9"/>
        <v>40477</v>
      </c>
      <c r="BD39" s="523"/>
      <c r="BE39" s="523"/>
      <c r="BF39" s="524"/>
      <c r="BG39" s="525">
        <f t="shared" si="3"/>
        <v>3</v>
      </c>
      <c r="BH39" s="526"/>
      <c r="BI39" s="513"/>
      <c r="BJ39" s="514"/>
      <c r="BK39" s="514"/>
      <c r="BL39" s="514"/>
      <c r="BM39" s="514"/>
      <c r="BN39" s="514"/>
      <c r="BO39" s="514"/>
      <c r="BP39" s="515"/>
      <c r="BQ39" s="522">
        <f t="shared" si="10"/>
        <v>40484</v>
      </c>
      <c r="BR39" s="523"/>
      <c r="BS39" s="523"/>
      <c r="BT39" s="524"/>
      <c r="BU39" s="525">
        <f t="shared" si="4"/>
        <v>3</v>
      </c>
      <c r="BV39" s="526"/>
      <c r="BW39" s="513"/>
      <c r="BX39" s="514"/>
      <c r="BY39" s="514"/>
      <c r="BZ39" s="514"/>
      <c r="CA39" s="514"/>
      <c r="CB39" s="514"/>
      <c r="CC39" s="514"/>
      <c r="CD39" s="515"/>
      <c r="CE39" s="522">
        <f t="shared" si="11"/>
        <v>40491</v>
      </c>
      <c r="CF39" s="523"/>
      <c r="CG39" s="523"/>
      <c r="CH39" s="524"/>
      <c r="CI39" s="525">
        <f t="shared" si="5"/>
        <v>3</v>
      </c>
      <c r="CJ39" s="526"/>
      <c r="CK39" s="513"/>
      <c r="CL39" s="514"/>
      <c r="CM39" s="514"/>
      <c r="CN39" s="514"/>
      <c r="CO39" s="514"/>
      <c r="CP39" s="514"/>
      <c r="CQ39" s="514"/>
      <c r="CR39" s="515"/>
      <c r="CS39" s="31"/>
      <c r="CT39" s="529"/>
      <c r="CU39" s="530"/>
      <c r="CV39" s="530"/>
      <c r="CW39" s="530"/>
      <c r="CX39" s="530"/>
      <c r="CY39" s="530"/>
      <c r="CZ39" s="530"/>
      <c r="DA39" s="530"/>
      <c r="DB39" s="530"/>
      <c r="DC39" s="530"/>
      <c r="DD39" s="530"/>
      <c r="DE39" s="530"/>
      <c r="DF39" s="530"/>
      <c r="DG39" s="530"/>
      <c r="DH39" s="530"/>
      <c r="DI39" s="530"/>
      <c r="DJ39" s="530"/>
      <c r="DK39" s="530"/>
      <c r="DL39" s="530"/>
      <c r="DM39" s="530"/>
      <c r="DN39" s="530"/>
      <c r="DO39" s="530"/>
      <c r="DP39" s="530"/>
      <c r="DQ39" s="530"/>
      <c r="DR39" s="530"/>
      <c r="DS39" s="530"/>
      <c r="DT39" s="530"/>
      <c r="DU39" s="530"/>
      <c r="DV39" s="530"/>
      <c r="DW39" s="530"/>
      <c r="DX39" s="530"/>
      <c r="DY39" s="530"/>
      <c r="DZ39" s="531"/>
    </row>
    <row r="40" spans="2:130" ht="20.100000000000001" customHeight="1">
      <c r="B40" s="558"/>
      <c r="C40" s="559"/>
      <c r="D40" s="559"/>
      <c r="E40" s="559"/>
      <c r="F40" s="559"/>
      <c r="G40" s="355"/>
      <c r="H40" s="356"/>
      <c r="I40" s="356"/>
      <c r="J40" s="356"/>
      <c r="K40" s="356"/>
      <c r="L40" s="357"/>
      <c r="M40" s="522">
        <f t="shared" si="6"/>
        <v>40457</v>
      </c>
      <c r="N40" s="523"/>
      <c r="O40" s="523"/>
      <c r="P40" s="524"/>
      <c r="Q40" s="525">
        <f t="shared" si="0"/>
        <v>4</v>
      </c>
      <c r="R40" s="526"/>
      <c r="S40" s="513"/>
      <c r="T40" s="514"/>
      <c r="U40" s="514"/>
      <c r="V40" s="514"/>
      <c r="W40" s="514"/>
      <c r="X40" s="514"/>
      <c r="Y40" s="514"/>
      <c r="Z40" s="515"/>
      <c r="AA40" s="522">
        <f t="shared" si="7"/>
        <v>40464</v>
      </c>
      <c r="AB40" s="523"/>
      <c r="AC40" s="523"/>
      <c r="AD40" s="524"/>
      <c r="AE40" s="525">
        <f t="shared" si="1"/>
        <v>4</v>
      </c>
      <c r="AF40" s="526"/>
      <c r="AG40" s="513"/>
      <c r="AH40" s="514"/>
      <c r="AI40" s="514"/>
      <c r="AJ40" s="514"/>
      <c r="AK40" s="514"/>
      <c r="AL40" s="514"/>
      <c r="AM40" s="514"/>
      <c r="AN40" s="515"/>
      <c r="AO40" s="522">
        <f t="shared" si="8"/>
        <v>40471</v>
      </c>
      <c r="AP40" s="523"/>
      <c r="AQ40" s="523"/>
      <c r="AR40" s="524"/>
      <c r="AS40" s="525">
        <f t="shared" si="2"/>
        <v>4</v>
      </c>
      <c r="AT40" s="526"/>
      <c r="AU40" s="513"/>
      <c r="AV40" s="514"/>
      <c r="AW40" s="514"/>
      <c r="AX40" s="514"/>
      <c r="AY40" s="514"/>
      <c r="AZ40" s="514"/>
      <c r="BA40" s="514"/>
      <c r="BB40" s="515"/>
      <c r="BC40" s="522">
        <f t="shared" si="9"/>
        <v>40478</v>
      </c>
      <c r="BD40" s="523"/>
      <c r="BE40" s="523"/>
      <c r="BF40" s="524"/>
      <c r="BG40" s="525">
        <f t="shared" si="3"/>
        <v>4</v>
      </c>
      <c r="BH40" s="526"/>
      <c r="BI40" s="513"/>
      <c r="BJ40" s="514"/>
      <c r="BK40" s="514"/>
      <c r="BL40" s="514"/>
      <c r="BM40" s="514"/>
      <c r="BN40" s="514"/>
      <c r="BO40" s="514"/>
      <c r="BP40" s="515"/>
      <c r="BQ40" s="522">
        <f t="shared" si="10"/>
        <v>40485</v>
      </c>
      <c r="BR40" s="523"/>
      <c r="BS40" s="523"/>
      <c r="BT40" s="524"/>
      <c r="BU40" s="525">
        <f t="shared" si="4"/>
        <v>4</v>
      </c>
      <c r="BV40" s="526"/>
      <c r="BW40" s="513"/>
      <c r="BX40" s="514"/>
      <c r="BY40" s="514"/>
      <c r="BZ40" s="514"/>
      <c r="CA40" s="514"/>
      <c r="CB40" s="514"/>
      <c r="CC40" s="514"/>
      <c r="CD40" s="515"/>
      <c r="CE40" s="522">
        <f t="shared" si="11"/>
        <v>40492</v>
      </c>
      <c r="CF40" s="523"/>
      <c r="CG40" s="523"/>
      <c r="CH40" s="524"/>
      <c r="CI40" s="525">
        <f t="shared" si="5"/>
        <v>4</v>
      </c>
      <c r="CJ40" s="526"/>
      <c r="CK40" s="513"/>
      <c r="CL40" s="514"/>
      <c r="CM40" s="514"/>
      <c r="CN40" s="514"/>
      <c r="CO40" s="514"/>
      <c r="CP40" s="514"/>
      <c r="CQ40" s="514"/>
      <c r="CR40" s="515"/>
      <c r="CS40" s="31"/>
      <c r="CT40" s="529"/>
      <c r="CU40" s="530"/>
      <c r="CV40" s="530"/>
      <c r="CW40" s="530"/>
      <c r="CX40" s="530"/>
      <c r="CY40" s="530"/>
      <c r="CZ40" s="530"/>
      <c r="DA40" s="530"/>
      <c r="DB40" s="530"/>
      <c r="DC40" s="530"/>
      <c r="DD40" s="530"/>
      <c r="DE40" s="530"/>
      <c r="DF40" s="530"/>
      <c r="DG40" s="530"/>
      <c r="DH40" s="530"/>
      <c r="DI40" s="530"/>
      <c r="DJ40" s="530"/>
      <c r="DK40" s="530"/>
      <c r="DL40" s="530"/>
      <c r="DM40" s="530"/>
      <c r="DN40" s="530"/>
      <c r="DO40" s="530"/>
      <c r="DP40" s="530"/>
      <c r="DQ40" s="530"/>
      <c r="DR40" s="530"/>
      <c r="DS40" s="530"/>
      <c r="DT40" s="530"/>
      <c r="DU40" s="530"/>
      <c r="DV40" s="530"/>
      <c r="DW40" s="530"/>
      <c r="DX40" s="530"/>
      <c r="DY40" s="530"/>
      <c r="DZ40" s="531"/>
    </row>
    <row r="41" spans="2:130" ht="20.100000000000001" customHeight="1" thickBot="1">
      <c r="B41" s="560"/>
      <c r="C41" s="561"/>
      <c r="D41" s="561"/>
      <c r="E41" s="561"/>
      <c r="F41" s="561"/>
      <c r="G41" s="358"/>
      <c r="H41" s="359"/>
      <c r="I41" s="359"/>
      <c r="J41" s="359"/>
      <c r="K41" s="359"/>
      <c r="L41" s="360"/>
      <c r="M41" s="517">
        <f t="shared" si="6"/>
        <v>40458</v>
      </c>
      <c r="N41" s="518"/>
      <c r="O41" s="518"/>
      <c r="P41" s="519"/>
      <c r="Q41" s="520">
        <f t="shared" si="0"/>
        <v>5</v>
      </c>
      <c r="R41" s="521"/>
      <c r="S41" s="503"/>
      <c r="T41" s="504"/>
      <c r="U41" s="504"/>
      <c r="V41" s="504"/>
      <c r="W41" s="504"/>
      <c r="X41" s="504"/>
      <c r="Y41" s="504"/>
      <c r="Z41" s="505"/>
      <c r="AA41" s="517">
        <f t="shared" si="7"/>
        <v>40465</v>
      </c>
      <c r="AB41" s="518"/>
      <c r="AC41" s="518"/>
      <c r="AD41" s="519"/>
      <c r="AE41" s="520">
        <f t="shared" si="1"/>
        <v>5</v>
      </c>
      <c r="AF41" s="521"/>
      <c r="AG41" s="503"/>
      <c r="AH41" s="504"/>
      <c r="AI41" s="504"/>
      <c r="AJ41" s="504"/>
      <c r="AK41" s="504"/>
      <c r="AL41" s="504"/>
      <c r="AM41" s="504"/>
      <c r="AN41" s="505"/>
      <c r="AO41" s="517">
        <f t="shared" si="8"/>
        <v>40472</v>
      </c>
      <c r="AP41" s="518"/>
      <c r="AQ41" s="518"/>
      <c r="AR41" s="519"/>
      <c r="AS41" s="520">
        <f t="shared" si="2"/>
        <v>5</v>
      </c>
      <c r="AT41" s="521"/>
      <c r="AU41" s="503"/>
      <c r="AV41" s="504"/>
      <c r="AW41" s="504"/>
      <c r="AX41" s="504"/>
      <c r="AY41" s="504"/>
      <c r="AZ41" s="504"/>
      <c r="BA41" s="504"/>
      <c r="BB41" s="505"/>
      <c r="BC41" s="517">
        <f t="shared" si="9"/>
        <v>40479</v>
      </c>
      <c r="BD41" s="518"/>
      <c r="BE41" s="518"/>
      <c r="BF41" s="519"/>
      <c r="BG41" s="520">
        <f t="shared" si="3"/>
        <v>5</v>
      </c>
      <c r="BH41" s="521"/>
      <c r="BI41" s="503"/>
      <c r="BJ41" s="504"/>
      <c r="BK41" s="504"/>
      <c r="BL41" s="504"/>
      <c r="BM41" s="504"/>
      <c r="BN41" s="504"/>
      <c r="BO41" s="504"/>
      <c r="BP41" s="505"/>
      <c r="BQ41" s="517">
        <f t="shared" si="10"/>
        <v>40486</v>
      </c>
      <c r="BR41" s="518"/>
      <c r="BS41" s="518"/>
      <c r="BT41" s="519"/>
      <c r="BU41" s="520">
        <f t="shared" si="4"/>
        <v>5</v>
      </c>
      <c r="BV41" s="521"/>
      <c r="BW41" s="503"/>
      <c r="BX41" s="504"/>
      <c r="BY41" s="504"/>
      <c r="BZ41" s="504"/>
      <c r="CA41" s="504"/>
      <c r="CB41" s="504"/>
      <c r="CC41" s="504"/>
      <c r="CD41" s="505"/>
      <c r="CE41" s="517">
        <f t="shared" si="11"/>
        <v>40493</v>
      </c>
      <c r="CF41" s="518"/>
      <c r="CG41" s="518"/>
      <c r="CH41" s="519"/>
      <c r="CI41" s="520">
        <f t="shared" si="5"/>
        <v>5</v>
      </c>
      <c r="CJ41" s="521"/>
      <c r="CK41" s="503"/>
      <c r="CL41" s="504"/>
      <c r="CM41" s="504"/>
      <c r="CN41" s="504"/>
      <c r="CO41" s="504"/>
      <c r="CP41" s="504"/>
      <c r="CQ41" s="504"/>
      <c r="CR41" s="505"/>
      <c r="CS41" s="32"/>
      <c r="CT41" s="631"/>
      <c r="CU41" s="501"/>
      <c r="CV41" s="501"/>
      <c r="CW41" s="501"/>
      <c r="CX41" s="501"/>
      <c r="CY41" s="501"/>
      <c r="CZ41" s="501"/>
      <c r="DA41" s="501"/>
      <c r="DB41" s="501"/>
      <c r="DC41" s="501"/>
      <c r="DD41" s="501"/>
      <c r="DE41" s="501"/>
      <c r="DF41" s="501"/>
      <c r="DG41" s="501"/>
      <c r="DH41" s="501"/>
      <c r="DI41" s="501"/>
      <c r="DJ41" s="501"/>
      <c r="DK41" s="501"/>
      <c r="DL41" s="501"/>
      <c r="DM41" s="501"/>
      <c r="DN41" s="501"/>
      <c r="DO41" s="501"/>
      <c r="DP41" s="501"/>
      <c r="DQ41" s="501"/>
      <c r="DR41" s="501"/>
      <c r="DS41" s="501"/>
      <c r="DT41" s="501"/>
      <c r="DU41" s="501"/>
      <c r="DV41" s="501"/>
      <c r="DW41" s="501"/>
      <c r="DX41" s="501"/>
      <c r="DY41" s="501"/>
      <c r="DZ41" s="502"/>
    </row>
    <row r="42" spans="2:130" ht="20.100000000000001" customHeight="1"/>
    <row r="43" spans="2:130" ht="20.100000000000001" customHeight="1">
      <c r="C43" t="s">
        <v>69</v>
      </c>
    </row>
    <row r="44" spans="2:130" ht="20.100000000000001" customHeight="1">
      <c r="C44" t="s">
        <v>70</v>
      </c>
      <c r="BO44" s="2"/>
    </row>
    <row r="45" spans="2:130" ht="20.100000000000001" customHeight="1"/>
    <row r="46" spans="2:130" ht="20.100000000000001" customHeight="1"/>
    <row r="47" spans="2:130" ht="20.100000000000001" customHeight="1"/>
    <row r="48" spans="2:130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</sheetData>
  <sheetProtection selectLockedCells="1"/>
  <mergeCells count="567">
    <mergeCell ref="BB2:BX2"/>
    <mergeCell ref="CB5:CG5"/>
    <mergeCell ref="BW4:CA4"/>
    <mergeCell ref="BW5:CA5"/>
    <mergeCell ref="AY5:BD5"/>
    <mergeCell ref="CB4:CG4"/>
    <mergeCell ref="BG5:BL5"/>
    <mergeCell ref="CT39:DZ39"/>
    <mergeCell ref="CT40:DZ40"/>
    <mergeCell ref="DS3:DZ3"/>
    <mergeCell ref="DN3:DR3"/>
    <mergeCell ref="DF3:DM3"/>
    <mergeCell ref="DA3:DE3"/>
    <mergeCell ref="BW3:CH3"/>
    <mergeCell ref="CI3:CM3"/>
    <mergeCell ref="CN3:CU3"/>
    <mergeCell ref="BL22:DZ22"/>
    <mergeCell ref="BG23:BK23"/>
    <mergeCell ref="BL19:DZ19"/>
    <mergeCell ref="CQ15:CS15"/>
    <mergeCell ref="DQ16:DU16"/>
    <mergeCell ref="CQ16:CS16"/>
    <mergeCell ref="CT16:CV16"/>
    <mergeCell ref="CW16:CZ16"/>
    <mergeCell ref="CT41:DZ41"/>
    <mergeCell ref="CH4:CJ4"/>
    <mergeCell ref="CH5:CJ5"/>
    <mergeCell ref="CH6:CJ6"/>
    <mergeCell ref="CH7:CJ7"/>
    <mergeCell ref="AQ31:DZ31"/>
    <mergeCell ref="AQ32:DZ32"/>
    <mergeCell ref="AQ28:DZ28"/>
    <mergeCell ref="CV5:CY5"/>
    <mergeCell ref="CZ5:DB5"/>
    <mergeCell ref="DC5:DG5"/>
    <mergeCell ref="DN4:DR4"/>
    <mergeCell ref="CB6:CG6"/>
    <mergeCell ref="BW6:CA6"/>
    <mergeCell ref="AQ27:DZ27"/>
    <mergeCell ref="AQ25:DZ25"/>
    <mergeCell ref="AQ26:DZ26"/>
    <mergeCell ref="BG21:BK21"/>
    <mergeCell ref="BL21:DZ21"/>
    <mergeCell ref="BL23:DZ23"/>
    <mergeCell ref="BG24:BK24"/>
    <mergeCell ref="BG22:BK22"/>
    <mergeCell ref="BL24:DZ24"/>
    <mergeCell ref="BG19:BK19"/>
    <mergeCell ref="AQ3:AU3"/>
    <mergeCell ref="AV3:BQ3"/>
    <mergeCell ref="BR3:BV3"/>
    <mergeCell ref="B4:F7"/>
    <mergeCell ref="X6:AC6"/>
    <mergeCell ref="AD6:AF6"/>
    <mergeCell ref="AG6:AI6"/>
    <mergeCell ref="G5:L5"/>
    <mergeCell ref="M4:P4"/>
    <mergeCell ref="Q5:R5"/>
    <mergeCell ref="T3:X3"/>
    <mergeCell ref="G6:L6"/>
    <mergeCell ref="M6:P6"/>
    <mergeCell ref="M5:P5"/>
    <mergeCell ref="Q4:R4"/>
    <mergeCell ref="B3:K3"/>
    <mergeCell ref="L3:S3"/>
    <mergeCell ref="AM4:AO4"/>
    <mergeCell ref="X5:AC5"/>
    <mergeCell ref="AD5:AF5"/>
    <mergeCell ref="AG5:AI5"/>
    <mergeCell ref="AJ5:AL5"/>
    <mergeCell ref="AM5:AO5"/>
    <mergeCell ref="AD4:AF4"/>
    <mergeCell ref="G28:W28"/>
    <mergeCell ref="X28:AB28"/>
    <mergeCell ref="AC28:AI28"/>
    <mergeCell ref="Y3:AP3"/>
    <mergeCell ref="Q6:R6"/>
    <mergeCell ref="S4:V4"/>
    <mergeCell ref="S6:V6"/>
    <mergeCell ref="S5:V5"/>
    <mergeCell ref="G24:J24"/>
    <mergeCell ref="AJ6:AL6"/>
    <mergeCell ref="AP21:BF21"/>
    <mergeCell ref="AJ28:AP28"/>
    <mergeCell ref="AC26:AI26"/>
    <mergeCell ref="AJ26:AP26"/>
    <mergeCell ref="AP19:BF19"/>
    <mergeCell ref="AJ27:AP27"/>
    <mergeCell ref="AJ25:AP25"/>
    <mergeCell ref="K21:AO21"/>
    <mergeCell ref="K24:AO24"/>
    <mergeCell ref="AP24:BF24"/>
    <mergeCell ref="AS18:AX18"/>
    <mergeCell ref="AY16:BG16"/>
    <mergeCell ref="AY17:BG17"/>
    <mergeCell ref="AY18:BG18"/>
    <mergeCell ref="AJ30:AP30"/>
    <mergeCell ref="AQ29:DZ29"/>
    <mergeCell ref="AJ31:AP31"/>
    <mergeCell ref="G32:W32"/>
    <mergeCell ref="X32:AB32"/>
    <mergeCell ref="AC32:AI32"/>
    <mergeCell ref="AJ32:AP32"/>
    <mergeCell ref="X31:AB31"/>
    <mergeCell ref="AC31:AI31"/>
    <mergeCell ref="B19:F24"/>
    <mergeCell ref="G19:J19"/>
    <mergeCell ref="G21:J21"/>
    <mergeCell ref="G22:J22"/>
    <mergeCell ref="K22:AO22"/>
    <mergeCell ref="AP22:BF22"/>
    <mergeCell ref="B25:F32"/>
    <mergeCell ref="G25:W25"/>
    <mergeCell ref="X25:AB25"/>
    <mergeCell ref="AC25:AI25"/>
    <mergeCell ref="G27:W27"/>
    <mergeCell ref="X27:AB27"/>
    <mergeCell ref="AC27:AI27"/>
    <mergeCell ref="G31:W31"/>
    <mergeCell ref="G26:W26"/>
    <mergeCell ref="X26:AB26"/>
    <mergeCell ref="AQ30:DZ30"/>
    <mergeCell ref="G29:W29"/>
    <mergeCell ref="X29:AB29"/>
    <mergeCell ref="AC29:AI29"/>
    <mergeCell ref="AJ29:AP29"/>
    <mergeCell ref="G30:W30"/>
    <mergeCell ref="X30:AB30"/>
    <mergeCell ref="AC30:AI30"/>
    <mergeCell ref="G20:J20"/>
    <mergeCell ref="K20:AO20"/>
    <mergeCell ref="AP20:BF20"/>
    <mergeCell ref="BG20:BK20"/>
    <mergeCell ref="BL20:DZ20"/>
    <mergeCell ref="K19:AO19"/>
    <mergeCell ref="CT18:CV18"/>
    <mergeCell ref="G23:J23"/>
    <mergeCell ref="K23:AO23"/>
    <mergeCell ref="AP23:BF23"/>
    <mergeCell ref="CW18:CZ18"/>
    <mergeCell ref="DA18:DF18"/>
    <mergeCell ref="DL18:DP18"/>
    <mergeCell ref="CQ18:CS18"/>
    <mergeCell ref="DQ18:DU18"/>
    <mergeCell ref="O18:Q18"/>
    <mergeCell ref="BT18:BW18"/>
    <mergeCell ref="BK18:BS18"/>
    <mergeCell ref="AK18:AN18"/>
    <mergeCell ref="W18:X18"/>
    <mergeCell ref="CJ18:CP18"/>
    <mergeCell ref="CC18:CE18"/>
    <mergeCell ref="CF18:CI18"/>
    <mergeCell ref="BH18:BJ18"/>
    <mergeCell ref="DV16:DZ16"/>
    <mergeCell ref="DG15:DK15"/>
    <mergeCell ref="DL15:DP15"/>
    <mergeCell ref="DQ15:DU15"/>
    <mergeCell ref="DV15:DZ15"/>
    <mergeCell ref="DG16:DK16"/>
    <mergeCell ref="DL16:DP16"/>
    <mergeCell ref="DV18:DZ18"/>
    <mergeCell ref="DG17:DK17"/>
    <mergeCell ref="DL17:DP17"/>
    <mergeCell ref="DQ17:DU17"/>
    <mergeCell ref="DV17:DZ17"/>
    <mergeCell ref="DG18:DK18"/>
    <mergeCell ref="DQ13:DU13"/>
    <mergeCell ref="DV13:DZ13"/>
    <mergeCell ref="DG14:DK14"/>
    <mergeCell ref="DL14:DP14"/>
    <mergeCell ref="DQ14:DU14"/>
    <mergeCell ref="DV14:DZ14"/>
    <mergeCell ref="DG13:DK13"/>
    <mergeCell ref="DL13:DP13"/>
    <mergeCell ref="DG11:DK11"/>
    <mergeCell ref="DL11:DP11"/>
    <mergeCell ref="DQ11:DU11"/>
    <mergeCell ref="DV11:DZ11"/>
    <mergeCell ref="DL12:DP12"/>
    <mergeCell ref="DQ12:DU12"/>
    <mergeCell ref="DV12:DZ12"/>
    <mergeCell ref="DG12:DK12"/>
    <mergeCell ref="DA11:DF11"/>
    <mergeCell ref="CT11:CV11"/>
    <mergeCell ref="CW11:CZ11"/>
    <mergeCell ref="CW12:CZ12"/>
    <mergeCell ref="DV9:DZ9"/>
    <mergeCell ref="DG10:DK10"/>
    <mergeCell ref="DL10:DP10"/>
    <mergeCell ref="DQ10:DU10"/>
    <mergeCell ref="DV10:DZ10"/>
    <mergeCell ref="DL9:DP9"/>
    <mergeCell ref="DQ9:DU9"/>
    <mergeCell ref="CT10:CV10"/>
    <mergeCell ref="CW10:CZ10"/>
    <mergeCell ref="CQ12:CS12"/>
    <mergeCell ref="DA17:DF17"/>
    <mergeCell ref="CT12:CV12"/>
    <mergeCell ref="DA16:DF16"/>
    <mergeCell ref="CQ17:CS17"/>
    <mergeCell ref="CT15:CV15"/>
    <mergeCell ref="CW15:CZ15"/>
    <mergeCell ref="DA15:DF15"/>
    <mergeCell ref="DA12:DF12"/>
    <mergeCell ref="DA14:DF14"/>
    <mergeCell ref="CQ14:CS14"/>
    <mergeCell ref="DA13:DF13"/>
    <mergeCell ref="CT14:CV14"/>
    <mergeCell ref="CW14:CZ14"/>
    <mergeCell ref="S14:T14"/>
    <mergeCell ref="S12:T12"/>
    <mergeCell ref="S18:T18"/>
    <mergeCell ref="S16:T16"/>
    <mergeCell ref="W16:X16"/>
    <mergeCell ref="S17:T17"/>
    <mergeCell ref="W17:X17"/>
    <mergeCell ref="Z17:AF17"/>
    <mergeCell ref="Z18:AF18"/>
    <mergeCell ref="W15:X15"/>
    <mergeCell ref="Z15:AF15"/>
    <mergeCell ref="Z16:AF16"/>
    <mergeCell ref="O13:Q13"/>
    <mergeCell ref="O14:Q14"/>
    <mergeCell ref="S13:T13"/>
    <mergeCell ref="S11:T11"/>
    <mergeCell ref="O11:Q11"/>
    <mergeCell ref="O12:Q12"/>
    <mergeCell ref="O15:Q15"/>
    <mergeCell ref="AK8:AR8"/>
    <mergeCell ref="Z13:AF13"/>
    <mergeCell ref="Z14:AF14"/>
    <mergeCell ref="Z12:AF12"/>
    <mergeCell ref="AH11:AJ11"/>
    <mergeCell ref="AK11:AN11"/>
    <mergeCell ref="AO11:AR11"/>
    <mergeCell ref="AH12:AJ12"/>
    <mergeCell ref="AK12:AN12"/>
    <mergeCell ref="S9:T9"/>
    <mergeCell ref="S10:T10"/>
    <mergeCell ref="S15:T15"/>
    <mergeCell ref="W13:X13"/>
    <mergeCell ref="W14:X14"/>
    <mergeCell ref="W12:X12"/>
    <mergeCell ref="W11:X11"/>
    <mergeCell ref="Z11:AF11"/>
    <mergeCell ref="O8:R8"/>
    <mergeCell ref="S8:Y8"/>
    <mergeCell ref="Z8:AF8"/>
    <mergeCell ref="BX8:CA8"/>
    <mergeCell ref="BX9:BZ9"/>
    <mergeCell ref="BK9:BS9"/>
    <mergeCell ref="BK10:BS10"/>
    <mergeCell ref="BT10:BW10"/>
    <mergeCell ref="BX10:BZ10"/>
    <mergeCell ref="AH9:AJ9"/>
    <mergeCell ref="AO9:AR9"/>
    <mergeCell ref="BT9:BW9"/>
    <mergeCell ref="Z9:AF9"/>
    <mergeCell ref="Z10:AF10"/>
    <mergeCell ref="AO10:AR10"/>
    <mergeCell ref="AK9:AN9"/>
    <mergeCell ref="W10:X10"/>
    <mergeCell ref="O9:Q9"/>
    <mergeCell ref="W9:X9"/>
    <mergeCell ref="O10:Q10"/>
    <mergeCell ref="AH10:AJ10"/>
    <mergeCell ref="AG8:AJ8"/>
    <mergeCell ref="G10:J10"/>
    <mergeCell ref="B8:F18"/>
    <mergeCell ref="K18:N18"/>
    <mergeCell ref="G13:J13"/>
    <mergeCell ref="G14:J14"/>
    <mergeCell ref="G15:J15"/>
    <mergeCell ref="G16:J16"/>
    <mergeCell ref="G17:J17"/>
    <mergeCell ref="G18:J18"/>
    <mergeCell ref="K11:N11"/>
    <mergeCell ref="G12:J12"/>
    <mergeCell ref="K17:N17"/>
    <mergeCell ref="G8:J8"/>
    <mergeCell ref="K8:N8"/>
    <mergeCell ref="K9:N9"/>
    <mergeCell ref="K10:N10"/>
    <mergeCell ref="G9:J9"/>
    <mergeCell ref="AG4:AI4"/>
    <mergeCell ref="AJ4:AL4"/>
    <mergeCell ref="B33:F34"/>
    <mergeCell ref="G33:L34"/>
    <mergeCell ref="M33:DZ33"/>
    <mergeCell ref="M34:DZ34"/>
    <mergeCell ref="CT35:DZ35"/>
    <mergeCell ref="CT36:DZ36"/>
    <mergeCell ref="CT37:DZ37"/>
    <mergeCell ref="G11:J11"/>
    <mergeCell ref="AU37:BB37"/>
    <mergeCell ref="B35:F41"/>
    <mergeCell ref="G35:L41"/>
    <mergeCell ref="BW41:CD41"/>
    <mergeCell ref="CE41:CH41"/>
    <mergeCell ref="CI41:CJ41"/>
    <mergeCell ref="AU41:BB41"/>
    <mergeCell ref="BC41:BF41"/>
    <mergeCell ref="BG41:BH41"/>
    <mergeCell ref="BI41:BP41"/>
    <mergeCell ref="CI40:CJ40"/>
    <mergeCell ref="M41:P41"/>
    <mergeCell ref="Q41:R41"/>
    <mergeCell ref="S41:Z41"/>
    <mergeCell ref="CT38:DZ38"/>
    <mergeCell ref="BM5:BT5"/>
    <mergeCell ref="BM6:BT6"/>
    <mergeCell ref="AQ6:AU6"/>
    <mergeCell ref="AV6:AX6"/>
    <mergeCell ref="AY6:BD6"/>
    <mergeCell ref="AQ5:AU5"/>
    <mergeCell ref="AV5:AX5"/>
    <mergeCell ref="K12:N12"/>
    <mergeCell ref="AY8:BG8"/>
    <mergeCell ref="O16:Q16"/>
    <mergeCell ref="O17:Q17"/>
    <mergeCell ref="K13:N13"/>
    <mergeCell ref="K14:N14"/>
    <mergeCell ref="K15:N15"/>
    <mergeCell ref="K16:N16"/>
    <mergeCell ref="AA38:AD38"/>
    <mergeCell ref="M35:P35"/>
    <mergeCell ref="Q35:R35"/>
    <mergeCell ref="S35:Z35"/>
    <mergeCell ref="AA35:AD35"/>
    <mergeCell ref="BG37:BH37"/>
    <mergeCell ref="BG35:BH35"/>
    <mergeCell ref="AS37:AT37"/>
    <mergeCell ref="S36:Z36"/>
    <mergeCell ref="S37:Z37"/>
    <mergeCell ref="S38:Z38"/>
    <mergeCell ref="M36:P36"/>
    <mergeCell ref="Q36:R36"/>
    <mergeCell ref="M37:P37"/>
    <mergeCell ref="Q37:R37"/>
    <mergeCell ref="M38:P38"/>
    <mergeCell ref="Q38:R38"/>
    <mergeCell ref="CI39:CJ39"/>
    <mergeCell ref="CK39:CR39"/>
    <mergeCell ref="CE40:CH40"/>
    <mergeCell ref="CK37:CR37"/>
    <mergeCell ref="CI38:CJ38"/>
    <mergeCell ref="BU40:BV40"/>
    <mergeCell ref="BQ37:BT37"/>
    <mergeCell ref="CI37:CJ37"/>
    <mergeCell ref="CK38:CR38"/>
    <mergeCell ref="CE39:CH39"/>
    <mergeCell ref="BQ39:BT39"/>
    <mergeCell ref="BU39:BV39"/>
    <mergeCell ref="BW39:CD39"/>
    <mergeCell ref="BU37:BV37"/>
    <mergeCell ref="BW37:CD37"/>
    <mergeCell ref="CE37:CH37"/>
    <mergeCell ref="BI37:BP37"/>
    <mergeCell ref="CE38:CH38"/>
    <mergeCell ref="BC38:BF38"/>
    <mergeCell ref="BG38:BH38"/>
    <mergeCell ref="BI35:BP35"/>
    <mergeCell ref="BC36:BF36"/>
    <mergeCell ref="BG36:BH36"/>
    <mergeCell ref="BC35:BF35"/>
    <mergeCell ref="BI36:BP36"/>
    <mergeCell ref="BU36:BV36"/>
    <mergeCell ref="BQ38:BT38"/>
    <mergeCell ref="BU38:BV38"/>
    <mergeCell ref="BC37:BF37"/>
    <mergeCell ref="BQ35:BT35"/>
    <mergeCell ref="BQ36:BT36"/>
    <mergeCell ref="BW36:CD36"/>
    <mergeCell ref="CK35:CR35"/>
    <mergeCell ref="CE36:CH36"/>
    <mergeCell ref="AS35:AT35"/>
    <mergeCell ref="AU35:BB35"/>
    <mergeCell ref="AO36:AR36"/>
    <mergeCell ref="AS36:AT36"/>
    <mergeCell ref="AU36:BB36"/>
    <mergeCell ref="AA36:AD36"/>
    <mergeCell ref="AE36:AF36"/>
    <mergeCell ref="AG36:AN36"/>
    <mergeCell ref="AE35:AF35"/>
    <mergeCell ref="AG35:AN35"/>
    <mergeCell ref="AO35:AR35"/>
    <mergeCell ref="BU35:BV35"/>
    <mergeCell ref="BW35:CD35"/>
    <mergeCell ref="CE35:CH35"/>
    <mergeCell ref="CI35:CJ35"/>
    <mergeCell ref="CI36:CJ36"/>
    <mergeCell ref="CK36:CR36"/>
    <mergeCell ref="AA37:AD37"/>
    <mergeCell ref="AE37:AF37"/>
    <mergeCell ref="AG37:AN37"/>
    <mergeCell ref="M40:P40"/>
    <mergeCell ref="Q40:R40"/>
    <mergeCell ref="S40:Z40"/>
    <mergeCell ref="AA40:AD40"/>
    <mergeCell ref="BC39:BF39"/>
    <mergeCell ref="BG39:BH39"/>
    <mergeCell ref="S39:Z39"/>
    <mergeCell ref="AA39:AD39"/>
    <mergeCell ref="AO40:AR40"/>
    <mergeCell ref="AS40:AT40"/>
    <mergeCell ref="AE40:AF40"/>
    <mergeCell ref="AG40:AN40"/>
    <mergeCell ref="AS39:AT39"/>
    <mergeCell ref="AU39:BB39"/>
    <mergeCell ref="AE39:AF39"/>
    <mergeCell ref="M39:P39"/>
    <mergeCell ref="Q39:R39"/>
    <mergeCell ref="AO37:AR37"/>
    <mergeCell ref="AA41:AD41"/>
    <mergeCell ref="AE41:AF41"/>
    <mergeCell ref="AG41:AN41"/>
    <mergeCell ref="AO41:AR41"/>
    <mergeCell ref="AS41:AT41"/>
    <mergeCell ref="AU40:BB40"/>
    <mergeCell ref="BC40:BF40"/>
    <mergeCell ref="BG40:BH40"/>
    <mergeCell ref="BW38:CD38"/>
    <mergeCell ref="AG39:AN39"/>
    <mergeCell ref="BI38:BP38"/>
    <mergeCell ref="BI40:BP40"/>
    <mergeCell ref="BI39:BP39"/>
    <mergeCell ref="BW40:CD40"/>
    <mergeCell ref="AO39:AR39"/>
    <mergeCell ref="BQ40:BT40"/>
    <mergeCell ref="AU38:BB38"/>
    <mergeCell ref="AE38:AF38"/>
    <mergeCell ref="AG38:AN38"/>
    <mergeCell ref="AO38:AR38"/>
    <mergeCell ref="AS38:AT38"/>
    <mergeCell ref="BQ41:BT41"/>
    <mergeCell ref="BU41:BV41"/>
    <mergeCell ref="DS4:DZ4"/>
    <mergeCell ref="DS5:DZ5"/>
    <mergeCell ref="DS6:DZ6"/>
    <mergeCell ref="DS7:DZ7"/>
    <mergeCell ref="DN5:DR5"/>
    <mergeCell ref="CK41:CR41"/>
    <mergeCell ref="DV8:DZ8"/>
    <mergeCell ref="DA9:DF9"/>
    <mergeCell ref="DG9:DK9"/>
    <mergeCell ref="CW8:DF8"/>
    <mergeCell ref="CK40:CR40"/>
    <mergeCell ref="DQ8:DU8"/>
    <mergeCell ref="CF8:CP8"/>
    <mergeCell ref="CQ8:CV8"/>
    <mergeCell ref="CF9:CI9"/>
    <mergeCell ref="CJ9:CP9"/>
    <mergeCell ref="DG8:DK8"/>
    <mergeCell ref="DL8:DP8"/>
    <mergeCell ref="CT9:CV9"/>
    <mergeCell ref="CW9:CZ9"/>
    <mergeCell ref="DA10:DF10"/>
    <mergeCell ref="CQ13:CS13"/>
    <mergeCell ref="CT13:CV13"/>
    <mergeCell ref="CW13:CZ13"/>
    <mergeCell ref="AM6:AO6"/>
    <mergeCell ref="BW7:CA7"/>
    <mergeCell ref="CB7:CG7"/>
    <mergeCell ref="CJ10:CP10"/>
    <mergeCell ref="AS8:AX8"/>
    <mergeCell ref="AS9:AX9"/>
    <mergeCell ref="AS10:AX10"/>
    <mergeCell ref="BH8:BJ8"/>
    <mergeCell ref="CQ10:CS10"/>
    <mergeCell ref="BK8:BS8"/>
    <mergeCell ref="BT8:BW8"/>
    <mergeCell ref="CB8:CE8"/>
    <mergeCell ref="CC9:CE9"/>
    <mergeCell ref="CC10:CE10"/>
    <mergeCell ref="AK10:AN10"/>
    <mergeCell ref="CQ9:CS9"/>
    <mergeCell ref="CF16:CI16"/>
    <mergeCell ref="BX16:BZ16"/>
    <mergeCell ref="BX18:BZ18"/>
    <mergeCell ref="CJ16:CP16"/>
    <mergeCell ref="CF17:CI17"/>
    <mergeCell ref="CJ17:CP17"/>
    <mergeCell ref="DN6:DR6"/>
    <mergeCell ref="DN7:DR7"/>
    <mergeCell ref="BG6:BL6"/>
    <mergeCell ref="BK11:BS11"/>
    <mergeCell ref="BT11:BW11"/>
    <mergeCell ref="BX11:BZ11"/>
    <mergeCell ref="BX12:BZ12"/>
    <mergeCell ref="BK12:BS12"/>
    <mergeCell ref="BT12:BW12"/>
    <mergeCell ref="CT17:CV17"/>
    <mergeCell ref="CW17:CZ17"/>
    <mergeCell ref="CQ11:CS11"/>
    <mergeCell ref="BT13:BW13"/>
    <mergeCell ref="BT14:BW14"/>
    <mergeCell ref="AY13:BG13"/>
    <mergeCell ref="AY14:BG14"/>
    <mergeCell ref="AY15:BG15"/>
    <mergeCell ref="CJ13:CP13"/>
    <mergeCell ref="AS16:AX16"/>
    <mergeCell ref="BH16:BJ16"/>
    <mergeCell ref="BT16:BW16"/>
    <mergeCell ref="BT17:BW17"/>
    <mergeCell ref="CC16:CE16"/>
    <mergeCell ref="CC17:CE17"/>
    <mergeCell ref="AS17:AX17"/>
    <mergeCell ref="CC12:CE12"/>
    <mergeCell ref="CC13:CE13"/>
    <mergeCell ref="CC14:CE14"/>
    <mergeCell ref="CC15:CE15"/>
    <mergeCell ref="BK14:BS14"/>
    <mergeCell ref="BH17:BJ17"/>
    <mergeCell ref="BK16:BS16"/>
    <mergeCell ref="BK17:BS17"/>
    <mergeCell ref="BX17:BZ17"/>
    <mergeCell ref="AS12:AX12"/>
    <mergeCell ref="AS13:AX13"/>
    <mergeCell ref="AS14:AX14"/>
    <mergeCell ref="AS15:AX15"/>
    <mergeCell ref="BT15:BW15"/>
    <mergeCell ref="BK15:BS15"/>
    <mergeCell ref="BK13:BS13"/>
    <mergeCell ref="AH15:AJ15"/>
    <mergeCell ref="AH16:AJ16"/>
    <mergeCell ref="AH17:AJ17"/>
    <mergeCell ref="AH18:AJ18"/>
    <mergeCell ref="AH13:AJ13"/>
    <mergeCell ref="AH14:AJ14"/>
    <mergeCell ref="AK14:AN14"/>
    <mergeCell ref="AO14:AR14"/>
    <mergeCell ref="AK17:AN17"/>
    <mergeCell ref="AO17:AR17"/>
    <mergeCell ref="AO18:AR18"/>
    <mergeCell ref="AO15:AR15"/>
    <mergeCell ref="AK16:AN16"/>
    <mergeCell ref="AO16:AR16"/>
    <mergeCell ref="AO12:AR12"/>
    <mergeCell ref="AK13:AN13"/>
    <mergeCell ref="AO13:AR13"/>
    <mergeCell ref="AK15:AN15"/>
    <mergeCell ref="BX13:BZ13"/>
    <mergeCell ref="CF12:CI12"/>
    <mergeCell ref="CJ12:CP12"/>
    <mergeCell ref="BX14:BZ14"/>
    <mergeCell ref="BX15:BZ15"/>
    <mergeCell ref="CF13:CI13"/>
    <mergeCell ref="BH15:BJ15"/>
    <mergeCell ref="CF14:CI14"/>
    <mergeCell ref="CJ14:CP14"/>
    <mergeCell ref="CJ11:CP11"/>
    <mergeCell ref="CF15:CI15"/>
    <mergeCell ref="CJ15:CP15"/>
    <mergeCell ref="CC11:CE11"/>
    <mergeCell ref="AS11:AX11"/>
    <mergeCell ref="AY9:BG9"/>
    <mergeCell ref="AY10:BG10"/>
    <mergeCell ref="AY12:BG12"/>
    <mergeCell ref="CF10:CI10"/>
    <mergeCell ref="AY11:BG11"/>
    <mergeCell ref="BH12:BJ12"/>
    <mergeCell ref="BH13:BJ13"/>
    <mergeCell ref="BH14:BJ14"/>
    <mergeCell ref="BH9:BJ9"/>
    <mergeCell ref="BH10:BJ10"/>
    <mergeCell ref="BH11:BJ11"/>
    <mergeCell ref="CF11:CI11"/>
  </mergeCells>
  <phoneticPr fontId="2"/>
  <conditionalFormatting sqref="M37:Q41 S37:Z41">
    <cfRule type="expression" dxfId="30" priority="1" stopIfTrue="1">
      <formula>OR($Q37=1,$Q37=7)</formula>
    </cfRule>
  </conditionalFormatting>
  <conditionalFormatting sqref="AA35:AE41 AG35:AS41 AU35:BG41 BI35:BU41 BW35:CI41 CK35:CR41">
    <cfRule type="expression" dxfId="29" priority="2" stopIfTrue="1">
      <formula>OR($AE35=1,$AE35=7)</formula>
    </cfRule>
  </conditionalFormatting>
  <conditionalFormatting sqref="M35:Z35">
    <cfRule type="expression" dxfId="28" priority="3" stopIfTrue="1">
      <formula>OR($Q35=1,$Q35=7)</formula>
    </cfRule>
  </conditionalFormatting>
  <conditionalFormatting sqref="M36:Z36">
    <cfRule type="expression" dxfId="27" priority="4" stopIfTrue="1">
      <formula>OR($Q36=1,$Q36=7)</formula>
    </cfRule>
  </conditionalFormatting>
  <conditionalFormatting sqref="L3:S3">
    <cfRule type="expression" dxfId="26" priority="5" stopIfTrue="1">
      <formula>$L$3=""</formula>
    </cfRule>
  </conditionalFormatting>
  <conditionalFormatting sqref="Y3:AP3">
    <cfRule type="expression" dxfId="25" priority="6" stopIfTrue="1">
      <formula>$Y$3=""</formula>
    </cfRule>
  </conditionalFormatting>
  <conditionalFormatting sqref="AV3:BQ3 BW3:CH3">
    <cfRule type="expression" dxfId="24" priority="7" stopIfTrue="1">
      <formula>$AV$3=""</formula>
    </cfRule>
  </conditionalFormatting>
  <conditionalFormatting sqref="CN3:CU3">
    <cfRule type="expression" dxfId="23" priority="8" stopIfTrue="1">
      <formula>$CN$3=""</formula>
    </cfRule>
  </conditionalFormatting>
  <conditionalFormatting sqref="DF3:DM3">
    <cfRule type="expression" dxfId="22" priority="9" stopIfTrue="1">
      <formula>$DF$3=""</formula>
    </cfRule>
  </conditionalFormatting>
  <conditionalFormatting sqref="M5:P5">
    <cfRule type="expression" dxfId="21" priority="10" stopIfTrue="1">
      <formula>$M$5=""</formula>
    </cfRule>
  </conditionalFormatting>
  <conditionalFormatting sqref="M6:P6">
    <cfRule type="expression" dxfId="20" priority="11" stopIfTrue="1">
      <formula>$M$6=""</formula>
    </cfRule>
  </conditionalFormatting>
  <conditionalFormatting sqref="S5:V5">
    <cfRule type="expression" dxfId="19" priority="12" stopIfTrue="1">
      <formula>$S$5=""</formula>
    </cfRule>
  </conditionalFormatting>
  <conditionalFormatting sqref="S6:V6">
    <cfRule type="expression" dxfId="18" priority="13" stopIfTrue="1">
      <formula>$S$6=""</formula>
    </cfRule>
  </conditionalFormatting>
  <conditionalFormatting sqref="AD6:AF6">
    <cfRule type="expression" dxfId="17" priority="14" stopIfTrue="1">
      <formula>$AD$6=""</formula>
    </cfRule>
  </conditionalFormatting>
  <conditionalFormatting sqref="AG6:AI6">
    <cfRule type="expression" dxfId="16" priority="15" stopIfTrue="1">
      <formula>$AG$6=""</formula>
    </cfRule>
  </conditionalFormatting>
  <conditionalFormatting sqref="AJ6:AL6">
    <cfRule type="expression" dxfId="15" priority="16" stopIfTrue="1">
      <formula>$AJ$6=""</formula>
    </cfRule>
  </conditionalFormatting>
  <conditionalFormatting sqref="AM6:AO6">
    <cfRule type="expression" dxfId="14" priority="17" stopIfTrue="1">
      <formula>$AM$6=""</formula>
    </cfRule>
  </conditionalFormatting>
  <conditionalFormatting sqref="AV5:AX5">
    <cfRule type="expression" dxfId="13" priority="18" stopIfTrue="1">
      <formula>$AV$5=""</formula>
    </cfRule>
  </conditionalFormatting>
  <conditionalFormatting sqref="AV6:AX6">
    <cfRule type="expression" dxfId="12" priority="19" stopIfTrue="1">
      <formula>$AV$6=""</formula>
    </cfRule>
  </conditionalFormatting>
  <conditionalFormatting sqref="AY5:BD5">
    <cfRule type="expression" dxfId="11" priority="20" stopIfTrue="1">
      <formula>$AY$5=""</formula>
    </cfRule>
  </conditionalFormatting>
  <conditionalFormatting sqref="CB4:CG4">
    <cfRule type="expression" dxfId="10" priority="21" stopIfTrue="1">
      <formula>$CB$4=""</formula>
    </cfRule>
  </conditionalFormatting>
  <conditionalFormatting sqref="CH4:CJ4">
    <cfRule type="expression" dxfId="9" priority="22" stopIfTrue="1">
      <formula>$CH$4=""</formula>
    </cfRule>
  </conditionalFormatting>
  <conditionalFormatting sqref="CB5:CG5">
    <cfRule type="expression" dxfId="8" priority="23" stopIfTrue="1">
      <formula>$CB$5=""</formula>
    </cfRule>
  </conditionalFormatting>
  <conditionalFormatting sqref="CH5:CJ5">
    <cfRule type="expression" dxfId="7" priority="24" stopIfTrue="1">
      <formula>$CH$5=""</formula>
    </cfRule>
  </conditionalFormatting>
  <conditionalFormatting sqref="CB6:CG6">
    <cfRule type="expression" dxfId="6" priority="25" stopIfTrue="1">
      <formula>$CB$6=""</formula>
    </cfRule>
  </conditionalFormatting>
  <conditionalFormatting sqref="CH6:CJ6">
    <cfRule type="expression" dxfId="5" priority="26" stopIfTrue="1">
      <formula>$CH$6=""</formula>
    </cfRule>
  </conditionalFormatting>
  <conditionalFormatting sqref="CB7:CG7">
    <cfRule type="expression" dxfId="4" priority="27" stopIfTrue="1">
      <formula>$CB$7=""</formula>
    </cfRule>
  </conditionalFormatting>
  <conditionalFormatting sqref="CH7:CJ7">
    <cfRule type="expression" dxfId="3" priority="28" stopIfTrue="1">
      <formula>$CH$7=""</formula>
    </cfRule>
  </conditionalFormatting>
  <conditionalFormatting sqref="DS3:DZ3">
    <cfRule type="expression" dxfId="2" priority="29" stopIfTrue="1">
      <formula>$DS$3=""</formula>
    </cfRule>
  </conditionalFormatting>
  <conditionalFormatting sqref="BM5:BT5">
    <cfRule type="expression" dxfId="1" priority="30" stopIfTrue="1">
      <formula>$BM$5=""</formula>
    </cfRule>
  </conditionalFormatting>
  <conditionalFormatting sqref="BM6:BT6">
    <cfRule type="expression" dxfId="0" priority="31" stopIfTrue="1">
      <formula>$BM$6=""</formula>
    </cfRule>
  </conditionalFormatting>
  <dataValidations count="18">
    <dataValidation type="custom" allowBlank="1" showInputMessage="1" showErrorMessage="1" sqref="EU3:EU4">
      <formula1>IX2</formula1>
    </dataValidation>
    <dataValidation type="list" showInputMessage="1" showErrorMessage="1" sqref="BB2:BX2">
      <formula1>$EU$3:$EU$4</formula1>
    </dataValidation>
    <dataValidation type="list" allowBlank="1" showInputMessage="1" showErrorMessage="1" sqref="AV5:AX5">
      <formula1>$EU$5:$EU$6</formula1>
    </dataValidation>
    <dataValidation type="list" allowBlank="1" showInputMessage="1" showErrorMessage="1" sqref="AY5:BD5">
      <formula1>$EU$7:$EU$10</formula1>
    </dataValidation>
    <dataValidation type="list" allowBlank="1" showInputMessage="1" showErrorMessage="1" sqref="BM5:BT5">
      <formula1>$EU$11:$EU$13</formula1>
    </dataValidation>
    <dataValidation type="list" allowBlank="1" showInputMessage="1" showErrorMessage="1" sqref="BM6:BT6">
      <formula1>$EU$14:$EU$18</formula1>
    </dataValidation>
    <dataValidation type="list" allowBlank="1" showInputMessage="1" showErrorMessage="1" sqref="CH4:CJ7">
      <formula1>$EU$19:$EU$20</formula1>
    </dataValidation>
    <dataValidation type="list" allowBlank="1" showInputMessage="1" showErrorMessage="1" sqref="AK9:AN18">
      <formula1>$EU$21:$EU$22</formula1>
    </dataValidation>
    <dataValidation type="list" allowBlank="1" showInputMessage="1" showErrorMessage="1" sqref="AO9:AR18">
      <formula1>$EU$23:$EU$24</formula1>
    </dataValidation>
    <dataValidation type="list" allowBlank="1" showInputMessage="1" showErrorMessage="1" sqref="X26:AB32 BG20:BK24 CF9:CI18">
      <formula1>$EU$25:$EU$26</formula1>
    </dataValidation>
    <dataValidation type="list" allowBlank="1" showInputMessage="1" showErrorMessage="1" sqref="CT9:CV18">
      <formula1>$EW$3:$EW$4</formula1>
    </dataValidation>
    <dataValidation type="list" allowBlank="1" showInputMessage="1" showErrorMessage="1" sqref="CW9:CZ18">
      <formula1>$EW$6:$EW$9</formula1>
    </dataValidation>
    <dataValidation type="list" allowBlank="1" showInputMessage="1" showErrorMessage="1" sqref="G33:L34">
      <formula1>$EU$27</formula1>
    </dataValidation>
    <dataValidation type="list" allowBlank="1" showInputMessage="1" showErrorMessage="1" sqref="G35:L41">
      <formula1>$EU$28</formula1>
    </dataValidation>
    <dataValidation showInputMessage="1" showErrorMessage="1" sqref="BY2:DZ2"/>
    <dataValidation type="list" allowBlank="1" showInputMessage="1" showErrorMessage="1" sqref="BH9:BJ18">
      <formula1>$EW$11</formula1>
    </dataValidation>
    <dataValidation type="list" showInputMessage="1" sqref="CN3:CU3">
      <formula1>$EY$3:$EY$24</formula1>
    </dataValidation>
    <dataValidation type="list" allowBlank="1" showInputMessage="1" showErrorMessage="1" sqref="CZ5:DB5">
      <formula1>"1,2,3,4,5,6,7,8,9,10,11,12"</formula1>
    </dataValidation>
  </dataValidations>
  <printOptions horizontalCentered="1" verticalCentered="1"/>
  <pageMargins left="0.43307086614173229" right="0.31496062992125984" top="0.39370078740157483" bottom="0.39370078740157483" header="0.51181102362204722" footer="0.51181102362204722"/>
  <pageSetup paperSize="9" scale="45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Z93"/>
  <sheetViews>
    <sheetView workbookViewId="0">
      <selection activeCell="CY7" sqref="CY7"/>
    </sheetView>
  </sheetViews>
  <sheetFormatPr defaultRowHeight="13.5"/>
  <cols>
    <col min="1" max="150" width="1.625" customWidth="1"/>
  </cols>
  <sheetData>
    <row r="1" spans="2:130" ht="20.100000000000001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</row>
    <row r="2" spans="2:130" ht="39.950000000000003" customHeight="1" thickBot="1">
      <c r="B2" s="771" t="s">
        <v>74</v>
      </c>
      <c r="C2" s="772"/>
      <c r="D2" s="772"/>
      <c r="E2" s="772"/>
      <c r="F2" s="772"/>
      <c r="G2" s="772"/>
      <c r="H2" s="772"/>
      <c r="I2" s="772"/>
      <c r="J2" s="772"/>
      <c r="K2" s="772"/>
      <c r="L2" s="772"/>
      <c r="M2" s="772"/>
      <c r="N2" s="772"/>
      <c r="O2" s="772"/>
      <c r="P2" s="772"/>
      <c r="Q2" s="772"/>
      <c r="R2" s="772"/>
      <c r="S2" s="772"/>
      <c r="T2" s="772"/>
      <c r="U2" s="772"/>
      <c r="V2" s="772"/>
      <c r="W2" s="772"/>
      <c r="X2" s="772"/>
      <c r="Y2" s="772"/>
      <c r="Z2" s="772"/>
      <c r="AA2" s="772"/>
      <c r="AB2" s="772"/>
      <c r="AC2" s="772"/>
      <c r="AD2" s="772"/>
      <c r="AE2" s="772"/>
      <c r="AF2" s="772"/>
      <c r="AG2" s="772"/>
      <c r="AH2" s="772"/>
      <c r="AI2" s="772"/>
      <c r="AJ2" s="772"/>
      <c r="AK2" s="772"/>
      <c r="AL2" s="772"/>
      <c r="AM2" s="772"/>
      <c r="AN2" s="772"/>
      <c r="AO2" s="772"/>
      <c r="AP2" s="772"/>
      <c r="AQ2" s="772"/>
      <c r="AR2" s="772"/>
      <c r="AS2" s="772"/>
      <c r="AT2" s="772"/>
      <c r="AU2" s="772"/>
      <c r="AV2" s="772"/>
      <c r="AW2" s="772"/>
      <c r="AX2" s="772"/>
      <c r="AY2" s="772"/>
      <c r="AZ2" s="772"/>
      <c r="BA2" s="772"/>
      <c r="BB2" s="772"/>
      <c r="BC2" s="772"/>
      <c r="BD2" s="772"/>
      <c r="BE2" s="772"/>
      <c r="BF2" s="772"/>
      <c r="BG2" s="772"/>
      <c r="BH2" s="772"/>
      <c r="BI2" s="772"/>
      <c r="BJ2" s="772"/>
      <c r="BK2" s="772"/>
      <c r="BL2" s="772"/>
      <c r="BM2" s="772"/>
      <c r="BN2" s="772"/>
      <c r="BO2" s="772"/>
      <c r="BP2" s="772"/>
      <c r="BQ2" s="772"/>
      <c r="BR2" s="772"/>
      <c r="BS2" s="772"/>
      <c r="BT2" s="772"/>
      <c r="BU2" s="772"/>
      <c r="BV2" s="772"/>
      <c r="BW2" s="772"/>
      <c r="BX2" s="772"/>
      <c r="BY2" s="772"/>
      <c r="BZ2" s="772"/>
      <c r="CA2" s="772"/>
      <c r="CB2" s="772"/>
      <c r="CC2" s="772"/>
      <c r="CD2" s="772"/>
      <c r="CE2" s="772"/>
      <c r="CF2" s="772"/>
      <c r="CG2" s="772"/>
      <c r="CH2" s="772"/>
      <c r="CI2" s="772"/>
      <c r="CJ2" s="772"/>
      <c r="CK2" s="772"/>
      <c r="CL2" s="772"/>
      <c r="CM2" s="772"/>
      <c r="CN2" s="772"/>
      <c r="CO2" s="772"/>
      <c r="CP2" s="772"/>
      <c r="CQ2" s="772"/>
      <c r="CR2" s="772"/>
      <c r="CS2" s="772"/>
      <c r="CT2" s="772"/>
      <c r="CU2" s="772"/>
      <c r="CV2" s="772"/>
      <c r="CW2" s="772"/>
      <c r="CX2" s="772"/>
      <c r="CY2" s="772"/>
      <c r="CZ2" s="772"/>
      <c r="DA2" s="772"/>
      <c r="DB2" s="772"/>
      <c r="DC2" s="772"/>
      <c r="DD2" s="772"/>
      <c r="DE2" s="772"/>
      <c r="DF2" s="772"/>
      <c r="DG2" s="772"/>
      <c r="DH2" s="772"/>
      <c r="DI2" s="772"/>
      <c r="DJ2" s="772"/>
      <c r="DK2" s="772"/>
      <c r="DL2" s="772"/>
      <c r="DM2" s="772"/>
      <c r="DN2" s="772"/>
      <c r="DO2" s="772"/>
      <c r="DP2" s="772"/>
      <c r="DQ2" s="772"/>
      <c r="DR2" s="772"/>
      <c r="DS2" s="772"/>
      <c r="DT2" s="772"/>
      <c r="DU2" s="772"/>
      <c r="DV2" s="772"/>
      <c r="DW2" s="772"/>
      <c r="DX2" s="772"/>
      <c r="DY2" s="772"/>
      <c r="DZ2" s="772"/>
    </row>
    <row r="3" spans="2:130" ht="20.100000000000001" customHeight="1" thickTop="1" thickBot="1">
      <c r="B3" s="622" t="s">
        <v>3</v>
      </c>
      <c r="C3" s="623"/>
      <c r="D3" s="623"/>
      <c r="E3" s="623"/>
      <c r="F3" s="623"/>
      <c r="G3" s="623"/>
      <c r="H3" s="623"/>
      <c r="I3" s="623"/>
      <c r="J3" s="623"/>
      <c r="K3" s="624"/>
      <c r="L3" s="725" t="s">
        <v>75</v>
      </c>
      <c r="M3" s="726"/>
      <c r="N3" s="726"/>
      <c r="O3" s="726"/>
      <c r="P3" s="726"/>
      <c r="Q3" s="726"/>
      <c r="R3" s="726"/>
      <c r="S3" s="727"/>
      <c r="T3" s="617" t="s">
        <v>1</v>
      </c>
      <c r="U3" s="618"/>
      <c r="V3" s="618"/>
      <c r="W3" s="618"/>
      <c r="X3" s="619"/>
      <c r="Y3" s="750" t="s">
        <v>76</v>
      </c>
      <c r="Z3" s="751"/>
      <c r="AA3" s="751"/>
      <c r="AB3" s="751"/>
      <c r="AC3" s="751"/>
      <c r="AD3" s="751"/>
      <c r="AE3" s="751"/>
      <c r="AF3" s="751"/>
      <c r="AG3" s="751"/>
      <c r="AH3" s="751"/>
      <c r="AI3" s="751"/>
      <c r="AJ3" s="751"/>
      <c r="AK3" s="751"/>
      <c r="AL3" s="751"/>
      <c r="AM3" s="751"/>
      <c r="AN3" s="751"/>
      <c r="AO3" s="751"/>
      <c r="AP3" s="752"/>
      <c r="AQ3" s="606" t="s">
        <v>0</v>
      </c>
      <c r="AR3" s="607"/>
      <c r="AS3" s="607"/>
      <c r="AT3" s="607"/>
      <c r="AU3" s="608"/>
      <c r="AV3" s="750" t="s">
        <v>77</v>
      </c>
      <c r="AW3" s="753"/>
      <c r="AX3" s="753"/>
      <c r="AY3" s="753"/>
      <c r="AZ3" s="753"/>
      <c r="BA3" s="753"/>
      <c r="BB3" s="753"/>
      <c r="BC3" s="753"/>
      <c r="BD3" s="753"/>
      <c r="BE3" s="753"/>
      <c r="BF3" s="753"/>
      <c r="BG3" s="753"/>
      <c r="BH3" s="753"/>
      <c r="BI3" s="753"/>
      <c r="BJ3" s="753"/>
      <c r="BK3" s="753"/>
      <c r="BL3" s="753"/>
      <c r="BM3" s="753"/>
      <c r="BN3" s="753"/>
      <c r="BO3" s="753"/>
      <c r="BP3" s="753"/>
      <c r="BQ3" s="754"/>
      <c r="BR3" s="606" t="s">
        <v>13</v>
      </c>
      <c r="BS3" s="607"/>
      <c r="BT3" s="607"/>
      <c r="BU3" s="607"/>
      <c r="BV3" s="608"/>
      <c r="BW3" s="750" t="s">
        <v>78</v>
      </c>
      <c r="BX3" s="753"/>
      <c r="BY3" s="753"/>
      <c r="BZ3" s="753"/>
      <c r="CA3" s="753"/>
      <c r="CB3" s="753"/>
      <c r="CC3" s="753"/>
      <c r="CD3" s="753"/>
      <c r="CE3" s="753"/>
      <c r="CF3" s="753"/>
      <c r="CG3" s="753"/>
      <c r="CH3" s="754"/>
      <c r="CI3" s="538" t="s">
        <v>2</v>
      </c>
      <c r="CJ3" s="539"/>
      <c r="CK3" s="607"/>
      <c r="CL3" s="607"/>
      <c r="CM3" s="608"/>
      <c r="CN3" s="750" t="s">
        <v>79</v>
      </c>
      <c r="CO3" s="753"/>
      <c r="CP3" s="753"/>
      <c r="CQ3" s="753"/>
      <c r="CR3" s="753"/>
      <c r="CS3" s="753"/>
      <c r="CT3" s="753"/>
      <c r="CU3" s="754"/>
      <c r="CV3" s="6"/>
      <c r="CW3" s="7"/>
      <c r="CX3" s="7"/>
      <c r="CY3" s="7"/>
      <c r="CZ3" s="8"/>
      <c r="DA3" s="606" t="s">
        <v>48</v>
      </c>
      <c r="DB3" s="607"/>
      <c r="DC3" s="607"/>
      <c r="DD3" s="607"/>
      <c r="DE3" s="608"/>
      <c r="DF3" s="759">
        <v>40422</v>
      </c>
      <c r="DG3" s="760"/>
      <c r="DH3" s="760"/>
      <c r="DI3" s="760"/>
      <c r="DJ3" s="760"/>
      <c r="DK3" s="760"/>
      <c r="DL3" s="760"/>
      <c r="DM3" s="761"/>
      <c r="DN3" s="606" t="s">
        <v>49</v>
      </c>
      <c r="DO3" s="607"/>
      <c r="DP3" s="607"/>
      <c r="DQ3" s="607"/>
      <c r="DR3" s="608"/>
      <c r="DS3" s="756">
        <v>1</v>
      </c>
      <c r="DT3" s="757"/>
      <c r="DU3" s="757"/>
      <c r="DV3" s="757"/>
      <c r="DW3" s="757"/>
      <c r="DX3" s="757"/>
      <c r="DY3" s="757"/>
      <c r="DZ3" s="758"/>
    </row>
    <row r="4" spans="2:130" ht="20.100000000000001" customHeight="1">
      <c r="B4" s="538" t="s">
        <v>12</v>
      </c>
      <c r="C4" s="566"/>
      <c r="D4" s="566"/>
      <c r="E4" s="566"/>
      <c r="F4" s="567"/>
      <c r="G4" s="9"/>
      <c r="H4" s="10"/>
      <c r="I4" s="11"/>
      <c r="J4" s="12"/>
      <c r="K4" s="12"/>
      <c r="L4" s="12"/>
      <c r="M4" s="615" t="s">
        <v>14</v>
      </c>
      <c r="N4" s="603"/>
      <c r="O4" s="603"/>
      <c r="P4" s="603"/>
      <c r="Q4" s="621"/>
      <c r="R4" s="621"/>
      <c r="S4" s="603" t="s">
        <v>15</v>
      </c>
      <c r="T4" s="490"/>
      <c r="U4" s="490"/>
      <c r="V4" s="506"/>
      <c r="W4" s="12"/>
      <c r="X4" s="21"/>
      <c r="Y4" s="21"/>
      <c r="Z4" s="21"/>
      <c r="AA4" s="22"/>
      <c r="AB4" s="22"/>
      <c r="AC4" s="22"/>
      <c r="AD4" s="537"/>
      <c r="AE4" s="537"/>
      <c r="AF4" s="537"/>
      <c r="AG4" s="537"/>
      <c r="AH4" s="537"/>
      <c r="AI4" s="537"/>
      <c r="AJ4" s="537"/>
      <c r="AK4" s="537"/>
      <c r="AL4" s="537"/>
      <c r="AM4" s="537"/>
      <c r="AN4" s="537"/>
      <c r="AO4" s="537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23"/>
      <c r="BG4" s="22"/>
      <c r="BH4" s="22"/>
      <c r="BI4" s="22"/>
      <c r="BJ4" s="22"/>
      <c r="BK4" s="22"/>
      <c r="BL4" s="22"/>
      <c r="BM4" s="22"/>
      <c r="BN4" s="12"/>
      <c r="BO4" s="12"/>
      <c r="BP4" s="12"/>
      <c r="BQ4" s="12"/>
      <c r="BR4" s="12"/>
      <c r="BS4" s="12"/>
      <c r="BT4" s="12"/>
      <c r="BU4" s="24"/>
      <c r="BV4" s="12"/>
      <c r="BW4" s="474" t="s">
        <v>56</v>
      </c>
      <c r="BX4" s="475"/>
      <c r="BY4" s="475"/>
      <c r="BZ4" s="475"/>
      <c r="CA4" s="476"/>
      <c r="CB4" s="763">
        <v>10000</v>
      </c>
      <c r="CC4" s="764"/>
      <c r="CD4" s="764"/>
      <c r="CE4" s="764"/>
      <c r="CF4" s="764"/>
      <c r="CG4" s="765"/>
      <c r="CH4" s="767" t="s">
        <v>84</v>
      </c>
      <c r="CI4" s="768"/>
      <c r="CJ4" s="769"/>
      <c r="CK4" s="27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576" t="s">
        <v>68</v>
      </c>
      <c r="DO4" s="640"/>
      <c r="DP4" s="640"/>
      <c r="DQ4" s="640"/>
      <c r="DR4" s="641"/>
      <c r="DS4" s="762"/>
      <c r="DT4" s="717"/>
      <c r="DU4" s="717"/>
      <c r="DV4" s="717"/>
      <c r="DW4" s="717"/>
      <c r="DX4" s="717"/>
      <c r="DY4" s="717"/>
      <c r="DZ4" s="718"/>
    </row>
    <row r="5" spans="2:130" ht="20.100000000000001" customHeight="1">
      <c r="B5" s="568"/>
      <c r="C5" s="569"/>
      <c r="D5" s="569"/>
      <c r="E5" s="569"/>
      <c r="F5" s="570"/>
      <c r="G5" s="612" t="s">
        <v>7</v>
      </c>
      <c r="H5" s="613"/>
      <c r="I5" s="613"/>
      <c r="J5" s="613"/>
      <c r="K5" s="613"/>
      <c r="L5" s="614"/>
      <c r="M5" s="728">
        <v>293</v>
      </c>
      <c r="N5" s="661"/>
      <c r="O5" s="661"/>
      <c r="P5" s="661"/>
      <c r="Q5" s="616" t="s">
        <v>51</v>
      </c>
      <c r="R5" s="616"/>
      <c r="S5" s="661">
        <v>216</v>
      </c>
      <c r="T5" s="661"/>
      <c r="U5" s="661"/>
      <c r="V5" s="755"/>
      <c r="W5" s="12"/>
      <c r="X5" s="628"/>
      <c r="Y5" s="628"/>
      <c r="Z5" s="628"/>
      <c r="AA5" s="628"/>
      <c r="AB5" s="628"/>
      <c r="AC5" s="629"/>
      <c r="AD5" s="630" t="s">
        <v>16</v>
      </c>
      <c r="AE5" s="630"/>
      <c r="AF5" s="630"/>
      <c r="AG5" s="630" t="s">
        <v>17</v>
      </c>
      <c r="AH5" s="630"/>
      <c r="AI5" s="630"/>
      <c r="AJ5" s="630" t="s">
        <v>18</v>
      </c>
      <c r="AK5" s="630"/>
      <c r="AL5" s="630"/>
      <c r="AM5" s="630" t="s">
        <v>50</v>
      </c>
      <c r="AN5" s="630"/>
      <c r="AO5" s="630"/>
      <c r="AP5" s="12"/>
      <c r="AQ5" s="474" t="s">
        <v>36</v>
      </c>
      <c r="AR5" s="475"/>
      <c r="AS5" s="475"/>
      <c r="AT5" s="475"/>
      <c r="AU5" s="476"/>
      <c r="AV5" s="672" t="s">
        <v>80</v>
      </c>
      <c r="AW5" s="673"/>
      <c r="AX5" s="673"/>
      <c r="AY5" s="672" t="s">
        <v>81</v>
      </c>
      <c r="AZ5" s="673"/>
      <c r="BA5" s="673"/>
      <c r="BB5" s="673"/>
      <c r="BC5" s="673"/>
      <c r="BD5" s="674"/>
      <c r="BE5" s="12"/>
      <c r="BF5" s="25"/>
      <c r="BG5" s="474" t="s">
        <v>39</v>
      </c>
      <c r="BH5" s="475"/>
      <c r="BI5" s="475"/>
      <c r="BJ5" s="475"/>
      <c r="BK5" s="475"/>
      <c r="BL5" s="476"/>
      <c r="BM5" s="672" t="s">
        <v>82</v>
      </c>
      <c r="BN5" s="673"/>
      <c r="BO5" s="673"/>
      <c r="BP5" s="673"/>
      <c r="BQ5" s="673"/>
      <c r="BR5" s="673"/>
      <c r="BS5" s="673"/>
      <c r="BT5" s="674"/>
      <c r="BU5" s="26"/>
      <c r="BV5" s="12"/>
      <c r="BW5" s="630" t="s">
        <v>57</v>
      </c>
      <c r="BX5" s="630"/>
      <c r="BY5" s="630"/>
      <c r="BZ5" s="630"/>
      <c r="CA5" s="630"/>
      <c r="CB5" s="773">
        <v>100</v>
      </c>
      <c r="CC5" s="774"/>
      <c r="CD5" s="774"/>
      <c r="CE5" s="774"/>
      <c r="CF5" s="774"/>
      <c r="CG5" s="775"/>
      <c r="CH5" s="672" t="s">
        <v>84</v>
      </c>
      <c r="CI5" s="673"/>
      <c r="CJ5" s="674"/>
      <c r="CK5" s="28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637" t="s">
        <v>195</v>
      </c>
      <c r="CW5" s="637"/>
      <c r="CX5" s="637"/>
      <c r="CY5" s="637"/>
      <c r="CZ5" s="638">
        <v>11</v>
      </c>
      <c r="DA5" s="638"/>
      <c r="DB5" s="638"/>
      <c r="DC5" s="639" t="s">
        <v>194</v>
      </c>
      <c r="DD5" s="639"/>
      <c r="DE5" s="639"/>
      <c r="DF5" s="639"/>
      <c r="DG5" s="639"/>
      <c r="DH5" s="47"/>
      <c r="DI5" s="47"/>
      <c r="DJ5" s="47"/>
      <c r="DK5" s="12"/>
      <c r="DL5" s="12"/>
      <c r="DM5" s="12"/>
      <c r="DN5" s="474" t="s">
        <v>68</v>
      </c>
      <c r="DO5" s="475"/>
      <c r="DP5" s="475"/>
      <c r="DQ5" s="475"/>
      <c r="DR5" s="476"/>
      <c r="DS5" s="667"/>
      <c r="DT5" s="668"/>
      <c r="DU5" s="668"/>
      <c r="DV5" s="668"/>
      <c r="DW5" s="668"/>
      <c r="DX5" s="668"/>
      <c r="DY5" s="668"/>
      <c r="DZ5" s="669"/>
    </row>
    <row r="6" spans="2:130" ht="20.100000000000001" customHeight="1" thickBot="1">
      <c r="B6" s="568"/>
      <c r="C6" s="569"/>
      <c r="D6" s="569"/>
      <c r="E6" s="569"/>
      <c r="F6" s="570"/>
      <c r="G6" s="612" t="s">
        <v>8</v>
      </c>
      <c r="H6" s="475"/>
      <c r="I6" s="475"/>
      <c r="J6" s="613"/>
      <c r="K6" s="613"/>
      <c r="L6" s="614"/>
      <c r="M6" s="672">
        <v>285</v>
      </c>
      <c r="N6" s="673"/>
      <c r="O6" s="673"/>
      <c r="P6" s="673"/>
      <c r="Q6" s="602" t="s">
        <v>52</v>
      </c>
      <c r="R6" s="602"/>
      <c r="S6" s="673">
        <v>210</v>
      </c>
      <c r="T6" s="673"/>
      <c r="U6" s="673"/>
      <c r="V6" s="674"/>
      <c r="W6" s="12"/>
      <c r="X6" s="474" t="s">
        <v>9</v>
      </c>
      <c r="Y6" s="475"/>
      <c r="Z6" s="475"/>
      <c r="AA6" s="475"/>
      <c r="AB6" s="475"/>
      <c r="AC6" s="476"/>
      <c r="AD6" s="672">
        <v>3</v>
      </c>
      <c r="AE6" s="673"/>
      <c r="AF6" s="674"/>
      <c r="AG6" s="672">
        <v>3</v>
      </c>
      <c r="AH6" s="673"/>
      <c r="AI6" s="674"/>
      <c r="AJ6" s="672">
        <v>3</v>
      </c>
      <c r="AK6" s="673"/>
      <c r="AL6" s="674"/>
      <c r="AM6" s="672">
        <v>3</v>
      </c>
      <c r="AN6" s="673"/>
      <c r="AO6" s="674"/>
      <c r="AP6" s="12"/>
      <c r="AQ6" s="485" t="s">
        <v>37</v>
      </c>
      <c r="AR6" s="485"/>
      <c r="AS6" s="485"/>
      <c r="AT6" s="485"/>
      <c r="AU6" s="485"/>
      <c r="AV6" s="675">
        <v>3</v>
      </c>
      <c r="AW6" s="676"/>
      <c r="AX6" s="677"/>
      <c r="AY6" s="477" t="s">
        <v>38</v>
      </c>
      <c r="AZ6" s="478"/>
      <c r="BA6" s="478"/>
      <c r="BB6" s="478"/>
      <c r="BC6" s="478"/>
      <c r="BD6" s="479"/>
      <c r="BE6" s="12"/>
      <c r="BF6" s="25"/>
      <c r="BG6" s="480" t="s">
        <v>11</v>
      </c>
      <c r="BH6" s="481"/>
      <c r="BI6" s="481"/>
      <c r="BJ6" s="481"/>
      <c r="BK6" s="481"/>
      <c r="BL6" s="482"/>
      <c r="BM6" s="675" t="s">
        <v>83</v>
      </c>
      <c r="BN6" s="676"/>
      <c r="BO6" s="676"/>
      <c r="BP6" s="676"/>
      <c r="BQ6" s="676"/>
      <c r="BR6" s="676"/>
      <c r="BS6" s="676"/>
      <c r="BT6" s="677"/>
      <c r="BU6" s="26"/>
      <c r="BV6" s="12"/>
      <c r="BW6" s="474" t="s">
        <v>58</v>
      </c>
      <c r="BX6" s="475"/>
      <c r="BY6" s="475"/>
      <c r="BZ6" s="475"/>
      <c r="CA6" s="476"/>
      <c r="CB6" s="773">
        <v>100</v>
      </c>
      <c r="CC6" s="774"/>
      <c r="CD6" s="774"/>
      <c r="CE6" s="774"/>
      <c r="CF6" s="774"/>
      <c r="CG6" s="775"/>
      <c r="CH6" s="672" t="s">
        <v>84</v>
      </c>
      <c r="CI6" s="673"/>
      <c r="CJ6" s="674"/>
      <c r="CK6" s="28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474" t="s">
        <v>68</v>
      </c>
      <c r="DO6" s="475"/>
      <c r="DP6" s="475"/>
      <c r="DQ6" s="475"/>
      <c r="DR6" s="476"/>
      <c r="DS6" s="667"/>
      <c r="DT6" s="668"/>
      <c r="DU6" s="668"/>
      <c r="DV6" s="668"/>
      <c r="DW6" s="668"/>
      <c r="DX6" s="668"/>
      <c r="DY6" s="668"/>
      <c r="DZ6" s="669"/>
    </row>
    <row r="7" spans="2:130" ht="20.100000000000001" customHeight="1" thickBot="1">
      <c r="B7" s="560"/>
      <c r="C7" s="561"/>
      <c r="D7" s="561"/>
      <c r="E7" s="561"/>
      <c r="F7" s="611"/>
      <c r="G7" s="13"/>
      <c r="H7" s="14"/>
      <c r="I7" s="14"/>
      <c r="J7" s="15"/>
      <c r="K7" s="15"/>
      <c r="L7" s="15"/>
      <c r="M7" s="10"/>
      <c r="N7" s="10"/>
      <c r="O7" s="10"/>
      <c r="P7" s="10"/>
      <c r="Q7" s="16"/>
      <c r="R7" s="16"/>
      <c r="S7" s="10"/>
      <c r="T7" s="10"/>
      <c r="U7" s="10"/>
      <c r="V7" s="10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2"/>
      <c r="BF7" s="17"/>
      <c r="BG7" s="18"/>
      <c r="BH7" s="18"/>
      <c r="BI7" s="18"/>
      <c r="BJ7" s="18"/>
      <c r="BK7" s="18"/>
      <c r="BL7" s="18"/>
      <c r="BM7" s="19"/>
      <c r="BN7" s="19"/>
      <c r="BO7" s="19"/>
      <c r="BP7" s="19"/>
      <c r="BQ7" s="19"/>
      <c r="BR7" s="19"/>
      <c r="BS7" s="19"/>
      <c r="BT7" s="19"/>
      <c r="BU7" s="20"/>
      <c r="BV7" s="12"/>
      <c r="BW7" s="485" t="s">
        <v>59</v>
      </c>
      <c r="BX7" s="485"/>
      <c r="BY7" s="485"/>
      <c r="BZ7" s="485"/>
      <c r="CA7" s="485"/>
      <c r="CB7" s="776">
        <v>10</v>
      </c>
      <c r="CC7" s="737"/>
      <c r="CD7" s="737"/>
      <c r="CE7" s="737"/>
      <c r="CF7" s="737"/>
      <c r="CG7" s="777"/>
      <c r="CH7" s="675" t="s">
        <v>85</v>
      </c>
      <c r="CI7" s="676"/>
      <c r="CJ7" s="677"/>
      <c r="CK7" s="29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477" t="s">
        <v>68</v>
      </c>
      <c r="DO7" s="478"/>
      <c r="DP7" s="478"/>
      <c r="DQ7" s="478"/>
      <c r="DR7" s="479"/>
      <c r="DS7" s="670"/>
      <c r="DT7" s="452"/>
      <c r="DU7" s="452"/>
      <c r="DV7" s="452"/>
      <c r="DW7" s="452"/>
      <c r="DX7" s="452"/>
      <c r="DY7" s="452"/>
      <c r="DZ7" s="671"/>
    </row>
    <row r="8" spans="2:130" ht="20.100000000000001" customHeight="1">
      <c r="B8" s="538" t="s">
        <v>25</v>
      </c>
      <c r="C8" s="566"/>
      <c r="D8" s="566"/>
      <c r="E8" s="566"/>
      <c r="F8" s="567"/>
      <c r="G8" s="575" t="s">
        <v>20</v>
      </c>
      <c r="H8" s="507"/>
      <c r="I8" s="507"/>
      <c r="J8" s="576"/>
      <c r="K8" s="512" t="s">
        <v>19</v>
      </c>
      <c r="L8" s="512"/>
      <c r="M8" s="512"/>
      <c r="N8" s="512"/>
      <c r="O8" s="512" t="s">
        <v>21</v>
      </c>
      <c r="P8" s="512"/>
      <c r="Q8" s="512"/>
      <c r="R8" s="512"/>
      <c r="S8" s="512" t="s">
        <v>22</v>
      </c>
      <c r="T8" s="512"/>
      <c r="U8" s="512"/>
      <c r="V8" s="512"/>
      <c r="W8" s="512"/>
      <c r="X8" s="512"/>
      <c r="Y8" s="512"/>
      <c r="Z8" s="493" t="s">
        <v>6</v>
      </c>
      <c r="AA8" s="577"/>
      <c r="AB8" s="577"/>
      <c r="AC8" s="577"/>
      <c r="AD8" s="577"/>
      <c r="AE8" s="577"/>
      <c r="AF8" s="577"/>
      <c r="AG8" s="512" t="s">
        <v>24</v>
      </c>
      <c r="AH8" s="512"/>
      <c r="AI8" s="512"/>
      <c r="AJ8" s="512"/>
      <c r="AK8" s="512" t="s">
        <v>23</v>
      </c>
      <c r="AL8" s="512"/>
      <c r="AM8" s="512"/>
      <c r="AN8" s="512"/>
      <c r="AO8" s="512"/>
      <c r="AP8" s="512"/>
      <c r="AQ8" s="512"/>
      <c r="AR8" s="512"/>
      <c r="AS8" s="512" t="s">
        <v>26</v>
      </c>
      <c r="AT8" s="512"/>
      <c r="AU8" s="512"/>
      <c r="AV8" s="512"/>
      <c r="AW8" s="512"/>
      <c r="AX8" s="512"/>
      <c r="AY8" s="512"/>
      <c r="AZ8" s="512"/>
      <c r="BA8" s="512" t="s">
        <v>27</v>
      </c>
      <c r="BB8" s="512"/>
      <c r="BC8" s="512"/>
      <c r="BD8" s="512"/>
      <c r="BE8" s="512"/>
      <c r="BF8" s="512"/>
      <c r="BG8" s="678"/>
      <c r="BH8" s="678"/>
      <c r="BI8" s="678"/>
      <c r="BJ8" s="678"/>
      <c r="BK8" s="492" t="s">
        <v>53</v>
      </c>
      <c r="BL8" s="492"/>
      <c r="BM8" s="493"/>
      <c r="BN8" s="493"/>
      <c r="BO8" s="493"/>
      <c r="BP8" s="493"/>
      <c r="BQ8" s="493"/>
      <c r="BR8" s="493"/>
      <c r="BS8" s="493"/>
      <c r="BT8" s="493" t="s">
        <v>30</v>
      </c>
      <c r="BU8" s="493"/>
      <c r="BV8" s="493"/>
      <c r="BW8" s="493"/>
      <c r="BX8" s="493" t="s">
        <v>31</v>
      </c>
      <c r="BY8" s="493"/>
      <c r="BZ8" s="493"/>
      <c r="CA8" s="493"/>
      <c r="CB8" s="493" t="s">
        <v>28</v>
      </c>
      <c r="CC8" s="493"/>
      <c r="CD8" s="493"/>
      <c r="CE8" s="493"/>
      <c r="CF8" s="493" t="s">
        <v>29</v>
      </c>
      <c r="CG8" s="493"/>
      <c r="CH8" s="492"/>
      <c r="CI8" s="492"/>
      <c r="CJ8" s="492"/>
      <c r="CK8" s="493"/>
      <c r="CL8" s="493"/>
      <c r="CM8" s="493"/>
      <c r="CN8" s="493"/>
      <c r="CO8" s="493"/>
      <c r="CP8" s="493"/>
      <c r="CQ8" s="512" t="s">
        <v>32</v>
      </c>
      <c r="CR8" s="512"/>
      <c r="CS8" s="512"/>
      <c r="CT8" s="512"/>
      <c r="CU8" s="512"/>
      <c r="CV8" s="512"/>
      <c r="CW8" s="512" t="s">
        <v>33</v>
      </c>
      <c r="CX8" s="512"/>
      <c r="CY8" s="512"/>
      <c r="CZ8" s="512"/>
      <c r="DA8" s="512"/>
      <c r="DB8" s="512"/>
      <c r="DC8" s="512"/>
      <c r="DD8" s="512"/>
      <c r="DE8" s="512"/>
      <c r="DF8" s="489"/>
      <c r="DG8" s="516" t="s">
        <v>35</v>
      </c>
      <c r="DH8" s="512"/>
      <c r="DI8" s="512"/>
      <c r="DJ8" s="512"/>
      <c r="DK8" s="512"/>
      <c r="DL8" s="512" t="s">
        <v>34</v>
      </c>
      <c r="DM8" s="512"/>
      <c r="DN8" s="512"/>
      <c r="DO8" s="512"/>
      <c r="DP8" s="512"/>
      <c r="DQ8" s="512" t="s">
        <v>4</v>
      </c>
      <c r="DR8" s="512"/>
      <c r="DS8" s="512"/>
      <c r="DT8" s="512"/>
      <c r="DU8" s="512"/>
      <c r="DV8" s="506" t="s">
        <v>5</v>
      </c>
      <c r="DW8" s="507"/>
      <c r="DX8" s="507"/>
      <c r="DY8" s="507"/>
      <c r="DZ8" s="508"/>
    </row>
    <row r="9" spans="2:130" ht="20.100000000000001" customHeight="1">
      <c r="B9" s="568"/>
      <c r="C9" s="569"/>
      <c r="D9" s="569"/>
      <c r="E9" s="569"/>
      <c r="F9" s="570"/>
      <c r="G9" s="660" t="s">
        <v>86</v>
      </c>
      <c r="H9" s="661"/>
      <c r="I9" s="661"/>
      <c r="J9" s="661"/>
      <c r="K9" s="662" t="s">
        <v>89</v>
      </c>
      <c r="L9" s="662"/>
      <c r="M9" s="662"/>
      <c r="N9" s="662"/>
      <c r="O9" s="662">
        <v>4</v>
      </c>
      <c r="P9" s="662"/>
      <c r="Q9" s="662"/>
      <c r="R9" s="34" t="s">
        <v>54</v>
      </c>
      <c r="S9" s="662">
        <v>5</v>
      </c>
      <c r="T9" s="662"/>
      <c r="U9" s="34" t="s">
        <v>55</v>
      </c>
      <c r="V9" s="3" t="s">
        <v>51</v>
      </c>
      <c r="W9" s="662">
        <v>4</v>
      </c>
      <c r="X9" s="662"/>
      <c r="Y9" s="34" t="s">
        <v>55</v>
      </c>
      <c r="Z9" s="662" t="s">
        <v>91</v>
      </c>
      <c r="AA9" s="662"/>
      <c r="AB9" s="662"/>
      <c r="AC9" s="662"/>
      <c r="AD9" s="662"/>
      <c r="AE9" s="662"/>
      <c r="AF9" s="662"/>
      <c r="AG9" s="3" t="s">
        <v>51</v>
      </c>
      <c r="AH9" s="662"/>
      <c r="AI9" s="662"/>
      <c r="AJ9" s="662"/>
      <c r="AK9" s="662" t="s">
        <v>92</v>
      </c>
      <c r="AL9" s="662"/>
      <c r="AM9" s="662"/>
      <c r="AN9" s="662"/>
      <c r="AO9" s="662" t="s">
        <v>93</v>
      </c>
      <c r="AP9" s="662"/>
      <c r="AQ9" s="662"/>
      <c r="AR9" s="662"/>
      <c r="AS9" s="662" t="s">
        <v>95</v>
      </c>
      <c r="AT9" s="662"/>
      <c r="AU9" s="662"/>
      <c r="AV9" s="662"/>
      <c r="AW9" s="662"/>
      <c r="AX9" s="662"/>
      <c r="AY9" s="662"/>
      <c r="AZ9" s="662"/>
      <c r="BA9" s="662" t="s">
        <v>96</v>
      </c>
      <c r="BB9" s="662"/>
      <c r="BC9" s="662"/>
      <c r="BD9" s="662"/>
      <c r="BE9" s="662"/>
      <c r="BF9" s="662"/>
      <c r="BG9" s="662"/>
      <c r="BH9" s="662"/>
      <c r="BI9" s="662"/>
      <c r="BJ9" s="662"/>
      <c r="BK9" s="662" t="s">
        <v>100</v>
      </c>
      <c r="BL9" s="662"/>
      <c r="BM9" s="662"/>
      <c r="BN9" s="662"/>
      <c r="BO9" s="662"/>
      <c r="BP9" s="662"/>
      <c r="BQ9" s="662"/>
      <c r="BR9" s="662"/>
      <c r="BS9" s="662"/>
      <c r="BT9" s="662">
        <v>93.5</v>
      </c>
      <c r="BU9" s="662"/>
      <c r="BV9" s="662"/>
      <c r="BW9" s="662"/>
      <c r="BX9" s="733">
        <v>6.5</v>
      </c>
      <c r="BY9" s="673"/>
      <c r="BZ9" s="734"/>
      <c r="CA9" s="33" t="s">
        <v>103</v>
      </c>
      <c r="CB9" s="3" t="s">
        <v>51</v>
      </c>
      <c r="CC9" s="662"/>
      <c r="CD9" s="662"/>
      <c r="CE9" s="662"/>
      <c r="CF9" s="733" t="s">
        <v>108</v>
      </c>
      <c r="CG9" s="673"/>
      <c r="CH9" s="673"/>
      <c r="CI9" s="734"/>
      <c r="CJ9" s="733" t="s">
        <v>110</v>
      </c>
      <c r="CK9" s="673"/>
      <c r="CL9" s="673"/>
      <c r="CM9" s="673"/>
      <c r="CN9" s="673"/>
      <c r="CO9" s="673"/>
      <c r="CP9" s="734"/>
      <c r="CQ9" s="662">
        <v>4</v>
      </c>
      <c r="CR9" s="662"/>
      <c r="CS9" s="662"/>
      <c r="CT9" s="662" t="s">
        <v>106</v>
      </c>
      <c r="CU9" s="662"/>
      <c r="CV9" s="662"/>
      <c r="CW9" s="662" t="s">
        <v>111</v>
      </c>
      <c r="CX9" s="662"/>
      <c r="CY9" s="662"/>
      <c r="CZ9" s="662"/>
      <c r="DA9" s="662"/>
      <c r="DB9" s="662"/>
      <c r="DC9" s="662"/>
      <c r="DD9" s="662"/>
      <c r="DE9" s="662"/>
      <c r="DF9" s="666"/>
      <c r="DG9" s="665">
        <v>10000</v>
      </c>
      <c r="DH9" s="664"/>
      <c r="DI9" s="664"/>
      <c r="DJ9" s="664"/>
      <c r="DK9" s="664"/>
      <c r="DL9" s="664">
        <v>2500</v>
      </c>
      <c r="DM9" s="664"/>
      <c r="DN9" s="664"/>
      <c r="DO9" s="664"/>
      <c r="DP9" s="664"/>
      <c r="DQ9" s="664">
        <v>200</v>
      </c>
      <c r="DR9" s="664"/>
      <c r="DS9" s="664"/>
      <c r="DT9" s="664"/>
      <c r="DU9" s="664"/>
      <c r="DV9" s="658">
        <v>100</v>
      </c>
      <c r="DW9" s="658"/>
      <c r="DX9" s="658"/>
      <c r="DY9" s="658"/>
      <c r="DZ9" s="659"/>
    </row>
    <row r="10" spans="2:130" ht="20.100000000000001" customHeight="1">
      <c r="B10" s="568"/>
      <c r="C10" s="569"/>
      <c r="D10" s="569"/>
      <c r="E10" s="569"/>
      <c r="F10" s="570"/>
      <c r="G10" s="660" t="s">
        <v>87</v>
      </c>
      <c r="H10" s="661"/>
      <c r="I10" s="661"/>
      <c r="J10" s="661"/>
      <c r="K10" s="662" t="s">
        <v>89</v>
      </c>
      <c r="L10" s="662"/>
      <c r="M10" s="662"/>
      <c r="N10" s="662"/>
      <c r="O10" s="662">
        <v>16</v>
      </c>
      <c r="P10" s="662"/>
      <c r="Q10" s="662"/>
      <c r="R10" s="35" t="s">
        <v>54</v>
      </c>
      <c r="S10" s="662">
        <v>4</v>
      </c>
      <c r="T10" s="662"/>
      <c r="U10" s="35" t="s">
        <v>55</v>
      </c>
      <c r="V10" s="4" t="s">
        <v>51</v>
      </c>
      <c r="W10" s="730">
        <v>4</v>
      </c>
      <c r="X10" s="730"/>
      <c r="Y10" s="35" t="s">
        <v>55</v>
      </c>
      <c r="Z10" s="663"/>
      <c r="AA10" s="663"/>
      <c r="AB10" s="663"/>
      <c r="AC10" s="663"/>
      <c r="AD10" s="663"/>
      <c r="AE10" s="663"/>
      <c r="AF10" s="663"/>
      <c r="AG10" s="4" t="s">
        <v>51</v>
      </c>
      <c r="AH10" s="662">
        <v>2</v>
      </c>
      <c r="AI10" s="662"/>
      <c r="AJ10" s="662"/>
      <c r="AK10" s="662" t="s">
        <v>92</v>
      </c>
      <c r="AL10" s="662"/>
      <c r="AM10" s="662"/>
      <c r="AN10" s="662"/>
      <c r="AO10" s="662" t="s">
        <v>94</v>
      </c>
      <c r="AP10" s="662"/>
      <c r="AQ10" s="662"/>
      <c r="AR10" s="662"/>
      <c r="AS10" s="662"/>
      <c r="AT10" s="662"/>
      <c r="AU10" s="662"/>
      <c r="AV10" s="662"/>
      <c r="AW10" s="662"/>
      <c r="AX10" s="662"/>
      <c r="AY10" s="662"/>
      <c r="AZ10" s="662"/>
      <c r="BA10" s="662" t="s">
        <v>97</v>
      </c>
      <c r="BB10" s="662"/>
      <c r="BC10" s="662"/>
      <c r="BD10" s="662"/>
      <c r="BE10" s="662"/>
      <c r="BF10" s="662"/>
      <c r="BG10" s="662"/>
      <c r="BH10" s="662"/>
      <c r="BI10" s="662"/>
      <c r="BJ10" s="662"/>
      <c r="BK10" s="662" t="s">
        <v>102</v>
      </c>
      <c r="BL10" s="662"/>
      <c r="BM10" s="662"/>
      <c r="BN10" s="662"/>
      <c r="BO10" s="662"/>
      <c r="BP10" s="662"/>
      <c r="BQ10" s="662"/>
      <c r="BR10" s="662"/>
      <c r="BS10" s="662"/>
      <c r="BT10" s="662">
        <v>44.5</v>
      </c>
      <c r="BU10" s="662"/>
      <c r="BV10" s="662"/>
      <c r="BW10" s="662"/>
      <c r="BX10" s="733">
        <v>15.6</v>
      </c>
      <c r="BY10" s="673"/>
      <c r="BZ10" s="734"/>
      <c r="CA10" s="33" t="s">
        <v>103</v>
      </c>
      <c r="CB10" s="4" t="s">
        <v>51</v>
      </c>
      <c r="CC10" s="662">
        <v>2</v>
      </c>
      <c r="CD10" s="662"/>
      <c r="CE10" s="662"/>
      <c r="CF10" s="733" t="s">
        <v>108</v>
      </c>
      <c r="CG10" s="673"/>
      <c r="CH10" s="673"/>
      <c r="CI10" s="734"/>
      <c r="CJ10" s="733" t="s">
        <v>104</v>
      </c>
      <c r="CK10" s="673"/>
      <c r="CL10" s="673"/>
      <c r="CM10" s="673"/>
      <c r="CN10" s="673"/>
      <c r="CO10" s="673"/>
      <c r="CP10" s="734"/>
      <c r="CQ10" s="662">
        <v>1</v>
      </c>
      <c r="CR10" s="662"/>
      <c r="CS10" s="662"/>
      <c r="CT10" s="662" t="s">
        <v>106</v>
      </c>
      <c r="CU10" s="662"/>
      <c r="CV10" s="662"/>
      <c r="CW10" s="662" t="s">
        <v>111</v>
      </c>
      <c r="CX10" s="662"/>
      <c r="CY10" s="662"/>
      <c r="CZ10" s="662"/>
      <c r="DA10" s="662"/>
      <c r="DB10" s="662"/>
      <c r="DC10" s="662"/>
      <c r="DD10" s="662"/>
      <c r="DE10" s="662"/>
      <c r="DF10" s="666"/>
      <c r="DG10" s="665">
        <v>10000</v>
      </c>
      <c r="DH10" s="664"/>
      <c r="DI10" s="664"/>
      <c r="DJ10" s="664"/>
      <c r="DK10" s="664"/>
      <c r="DL10" s="664">
        <v>10000</v>
      </c>
      <c r="DM10" s="664"/>
      <c r="DN10" s="664"/>
      <c r="DO10" s="664"/>
      <c r="DP10" s="664"/>
      <c r="DQ10" s="664">
        <v>500</v>
      </c>
      <c r="DR10" s="664"/>
      <c r="DS10" s="664"/>
      <c r="DT10" s="664"/>
      <c r="DU10" s="664"/>
      <c r="DV10" s="658">
        <v>200</v>
      </c>
      <c r="DW10" s="658"/>
      <c r="DX10" s="658"/>
      <c r="DY10" s="658"/>
      <c r="DZ10" s="659"/>
    </row>
    <row r="11" spans="2:130" ht="20.100000000000001" customHeight="1">
      <c r="B11" s="568"/>
      <c r="C11" s="569"/>
      <c r="D11" s="569"/>
      <c r="E11" s="569"/>
      <c r="F11" s="570"/>
      <c r="G11" s="660" t="s">
        <v>88</v>
      </c>
      <c r="H11" s="661"/>
      <c r="I11" s="661"/>
      <c r="J11" s="661"/>
      <c r="K11" s="662"/>
      <c r="L11" s="662"/>
      <c r="M11" s="662"/>
      <c r="N11" s="662"/>
      <c r="O11" s="662">
        <v>4</v>
      </c>
      <c r="P11" s="662"/>
      <c r="Q11" s="662"/>
      <c r="R11" s="35" t="s">
        <v>54</v>
      </c>
      <c r="S11" s="662">
        <v>4</v>
      </c>
      <c r="T11" s="662"/>
      <c r="U11" s="35" t="s">
        <v>55</v>
      </c>
      <c r="V11" s="4" t="s">
        <v>51</v>
      </c>
      <c r="W11" s="730">
        <v>4</v>
      </c>
      <c r="X11" s="730"/>
      <c r="Y11" s="35" t="s">
        <v>55</v>
      </c>
      <c r="Z11" s="663"/>
      <c r="AA11" s="663"/>
      <c r="AB11" s="663"/>
      <c r="AC11" s="663"/>
      <c r="AD11" s="663"/>
      <c r="AE11" s="663"/>
      <c r="AF11" s="663"/>
      <c r="AG11" s="4" t="s">
        <v>51</v>
      </c>
      <c r="AH11" s="662"/>
      <c r="AI11" s="662"/>
      <c r="AJ11" s="662"/>
      <c r="AK11" s="662" t="s">
        <v>92</v>
      </c>
      <c r="AL11" s="662"/>
      <c r="AM11" s="662"/>
      <c r="AN11" s="662"/>
      <c r="AO11" s="662" t="s">
        <v>93</v>
      </c>
      <c r="AP11" s="662"/>
      <c r="AQ11" s="662"/>
      <c r="AR11" s="662"/>
      <c r="AS11" s="662"/>
      <c r="AT11" s="662"/>
      <c r="AU11" s="662"/>
      <c r="AV11" s="662"/>
      <c r="AW11" s="662"/>
      <c r="AX11" s="662"/>
      <c r="AY11" s="662"/>
      <c r="AZ11" s="662"/>
      <c r="BA11" s="662" t="s">
        <v>98</v>
      </c>
      <c r="BB11" s="662"/>
      <c r="BC11" s="662"/>
      <c r="BD11" s="662"/>
      <c r="BE11" s="662"/>
      <c r="BF11" s="662"/>
      <c r="BG11" s="662"/>
      <c r="BH11" s="662"/>
      <c r="BI11" s="662"/>
      <c r="BJ11" s="662"/>
      <c r="BK11" s="662" t="s">
        <v>101</v>
      </c>
      <c r="BL11" s="662"/>
      <c r="BM11" s="662"/>
      <c r="BN11" s="662"/>
      <c r="BO11" s="662"/>
      <c r="BP11" s="662"/>
      <c r="BQ11" s="662"/>
      <c r="BR11" s="662"/>
      <c r="BS11" s="662"/>
      <c r="BT11" s="662">
        <v>44.5</v>
      </c>
      <c r="BU11" s="662"/>
      <c r="BV11" s="662"/>
      <c r="BW11" s="662"/>
      <c r="BX11" s="733">
        <v>6</v>
      </c>
      <c r="BY11" s="673"/>
      <c r="BZ11" s="734"/>
      <c r="CA11" s="33" t="s">
        <v>103</v>
      </c>
      <c r="CB11" s="4" t="s">
        <v>51</v>
      </c>
      <c r="CC11" s="662"/>
      <c r="CD11" s="662"/>
      <c r="CE11" s="662"/>
      <c r="CF11" s="733" t="s">
        <v>108</v>
      </c>
      <c r="CG11" s="673"/>
      <c r="CH11" s="673"/>
      <c r="CI11" s="734"/>
      <c r="CJ11" s="733" t="s">
        <v>104</v>
      </c>
      <c r="CK11" s="673"/>
      <c r="CL11" s="673"/>
      <c r="CM11" s="673"/>
      <c r="CN11" s="673"/>
      <c r="CO11" s="673"/>
      <c r="CP11" s="734"/>
      <c r="CQ11" s="662">
        <v>4</v>
      </c>
      <c r="CR11" s="662"/>
      <c r="CS11" s="662"/>
      <c r="CT11" s="662" t="s">
        <v>106</v>
      </c>
      <c r="CU11" s="662"/>
      <c r="CV11" s="662"/>
      <c r="CW11" s="662" t="s">
        <v>112</v>
      </c>
      <c r="CX11" s="662"/>
      <c r="CY11" s="662"/>
      <c r="CZ11" s="662"/>
      <c r="DA11" s="662" t="s">
        <v>114</v>
      </c>
      <c r="DB11" s="662"/>
      <c r="DC11" s="662"/>
      <c r="DD11" s="662"/>
      <c r="DE11" s="662"/>
      <c r="DF11" s="666"/>
      <c r="DG11" s="665">
        <v>10000</v>
      </c>
      <c r="DH11" s="664"/>
      <c r="DI11" s="664"/>
      <c r="DJ11" s="664"/>
      <c r="DK11" s="664"/>
      <c r="DL11" s="664">
        <v>2500</v>
      </c>
      <c r="DM11" s="664"/>
      <c r="DN11" s="664"/>
      <c r="DO11" s="664"/>
      <c r="DP11" s="664"/>
      <c r="DQ11" s="664">
        <v>200</v>
      </c>
      <c r="DR11" s="664"/>
      <c r="DS11" s="664"/>
      <c r="DT11" s="664"/>
      <c r="DU11" s="664"/>
      <c r="DV11" s="658">
        <v>200</v>
      </c>
      <c r="DW11" s="658"/>
      <c r="DX11" s="658"/>
      <c r="DY11" s="658"/>
      <c r="DZ11" s="659"/>
    </row>
    <row r="12" spans="2:130" ht="20.100000000000001" customHeight="1">
      <c r="B12" s="568"/>
      <c r="C12" s="569"/>
      <c r="D12" s="569"/>
      <c r="E12" s="569"/>
      <c r="F12" s="570"/>
      <c r="G12" s="660" t="s">
        <v>90</v>
      </c>
      <c r="H12" s="661"/>
      <c r="I12" s="661"/>
      <c r="J12" s="661"/>
      <c r="K12" s="662"/>
      <c r="L12" s="662"/>
      <c r="M12" s="662"/>
      <c r="N12" s="662"/>
      <c r="O12" s="662">
        <v>1</v>
      </c>
      <c r="P12" s="662"/>
      <c r="Q12" s="662"/>
      <c r="R12" s="35" t="s">
        <v>54</v>
      </c>
      <c r="S12" s="662">
        <v>1</v>
      </c>
      <c r="T12" s="662"/>
      <c r="U12" s="35" t="s">
        <v>55</v>
      </c>
      <c r="V12" s="4" t="s">
        <v>51</v>
      </c>
      <c r="W12" s="730">
        <v>0</v>
      </c>
      <c r="X12" s="730"/>
      <c r="Y12" s="35" t="s">
        <v>55</v>
      </c>
      <c r="Z12" s="663"/>
      <c r="AA12" s="663"/>
      <c r="AB12" s="663"/>
      <c r="AC12" s="663"/>
      <c r="AD12" s="663"/>
      <c r="AE12" s="663"/>
      <c r="AF12" s="663"/>
      <c r="AG12" s="4" t="s">
        <v>51</v>
      </c>
      <c r="AH12" s="662"/>
      <c r="AI12" s="662"/>
      <c r="AJ12" s="662"/>
      <c r="AK12" s="662" t="s">
        <v>92</v>
      </c>
      <c r="AL12" s="662"/>
      <c r="AM12" s="662"/>
      <c r="AN12" s="662"/>
      <c r="AO12" s="662" t="s">
        <v>93</v>
      </c>
      <c r="AP12" s="662"/>
      <c r="AQ12" s="662"/>
      <c r="AR12" s="662"/>
      <c r="AS12" s="662"/>
      <c r="AT12" s="662"/>
      <c r="AU12" s="662"/>
      <c r="AV12" s="662"/>
      <c r="AW12" s="662"/>
      <c r="AX12" s="662"/>
      <c r="AY12" s="662"/>
      <c r="AZ12" s="662"/>
      <c r="BA12" s="662" t="s">
        <v>99</v>
      </c>
      <c r="BB12" s="662"/>
      <c r="BC12" s="662"/>
      <c r="BD12" s="662"/>
      <c r="BE12" s="662"/>
      <c r="BF12" s="662"/>
      <c r="BG12" s="662"/>
      <c r="BH12" s="662"/>
      <c r="BI12" s="662"/>
      <c r="BJ12" s="662"/>
      <c r="BK12" s="662" t="s">
        <v>100</v>
      </c>
      <c r="BL12" s="662"/>
      <c r="BM12" s="662"/>
      <c r="BN12" s="662"/>
      <c r="BO12" s="662"/>
      <c r="BP12" s="662"/>
      <c r="BQ12" s="662"/>
      <c r="BR12" s="662"/>
      <c r="BS12" s="662"/>
      <c r="BT12" s="662">
        <v>44.5</v>
      </c>
      <c r="BU12" s="662"/>
      <c r="BV12" s="662"/>
      <c r="BW12" s="662"/>
      <c r="BX12" s="733">
        <v>1</v>
      </c>
      <c r="BY12" s="673"/>
      <c r="BZ12" s="734"/>
      <c r="CA12" s="33" t="s">
        <v>103</v>
      </c>
      <c r="CB12" s="4" t="s">
        <v>51</v>
      </c>
      <c r="CC12" s="662"/>
      <c r="CD12" s="662"/>
      <c r="CE12" s="662"/>
      <c r="CF12" s="733" t="s">
        <v>109</v>
      </c>
      <c r="CG12" s="673"/>
      <c r="CH12" s="673"/>
      <c r="CI12" s="734"/>
      <c r="CJ12" s="733" t="s">
        <v>105</v>
      </c>
      <c r="CK12" s="673"/>
      <c r="CL12" s="673"/>
      <c r="CM12" s="673"/>
      <c r="CN12" s="673"/>
      <c r="CO12" s="673"/>
      <c r="CP12" s="734"/>
      <c r="CQ12" s="662">
        <v>14</v>
      </c>
      <c r="CR12" s="662"/>
      <c r="CS12" s="662"/>
      <c r="CT12" s="662" t="s">
        <v>107</v>
      </c>
      <c r="CU12" s="662"/>
      <c r="CV12" s="662"/>
      <c r="CW12" s="662" t="s">
        <v>113</v>
      </c>
      <c r="CX12" s="662"/>
      <c r="CY12" s="662"/>
      <c r="CZ12" s="662"/>
      <c r="DA12" s="662"/>
      <c r="DB12" s="662"/>
      <c r="DC12" s="662"/>
      <c r="DD12" s="662"/>
      <c r="DE12" s="662"/>
      <c r="DF12" s="666"/>
      <c r="DG12" s="665">
        <v>10000</v>
      </c>
      <c r="DH12" s="664"/>
      <c r="DI12" s="664"/>
      <c r="DJ12" s="664"/>
      <c r="DK12" s="664"/>
      <c r="DL12" s="664">
        <v>715</v>
      </c>
      <c r="DM12" s="664"/>
      <c r="DN12" s="664"/>
      <c r="DO12" s="664"/>
      <c r="DP12" s="664"/>
      <c r="DQ12" s="664">
        <v>100</v>
      </c>
      <c r="DR12" s="664"/>
      <c r="DS12" s="664"/>
      <c r="DT12" s="664"/>
      <c r="DU12" s="664"/>
      <c r="DV12" s="658">
        <v>50</v>
      </c>
      <c r="DW12" s="658"/>
      <c r="DX12" s="658"/>
      <c r="DY12" s="658"/>
      <c r="DZ12" s="659"/>
    </row>
    <row r="13" spans="2:130" ht="20.100000000000001" customHeight="1">
      <c r="B13" s="568"/>
      <c r="C13" s="569"/>
      <c r="D13" s="569"/>
      <c r="E13" s="569"/>
      <c r="F13" s="570"/>
      <c r="G13" s="660"/>
      <c r="H13" s="661"/>
      <c r="I13" s="661"/>
      <c r="J13" s="661"/>
      <c r="K13" s="662"/>
      <c r="L13" s="662"/>
      <c r="M13" s="662"/>
      <c r="N13" s="662"/>
      <c r="O13" s="662"/>
      <c r="P13" s="662"/>
      <c r="Q13" s="662"/>
      <c r="R13" s="35" t="s">
        <v>54</v>
      </c>
      <c r="S13" s="662"/>
      <c r="T13" s="662"/>
      <c r="U13" s="35" t="s">
        <v>55</v>
      </c>
      <c r="V13" s="4" t="s">
        <v>51</v>
      </c>
      <c r="W13" s="730"/>
      <c r="X13" s="730"/>
      <c r="Y13" s="35" t="s">
        <v>55</v>
      </c>
      <c r="Z13" s="663"/>
      <c r="AA13" s="663"/>
      <c r="AB13" s="663"/>
      <c r="AC13" s="663"/>
      <c r="AD13" s="663"/>
      <c r="AE13" s="663"/>
      <c r="AF13" s="663"/>
      <c r="AG13" s="4" t="s">
        <v>51</v>
      </c>
      <c r="AH13" s="662"/>
      <c r="AI13" s="662"/>
      <c r="AJ13" s="662"/>
      <c r="AK13" s="662"/>
      <c r="AL13" s="662"/>
      <c r="AM13" s="662"/>
      <c r="AN13" s="662"/>
      <c r="AO13" s="662"/>
      <c r="AP13" s="662"/>
      <c r="AQ13" s="662"/>
      <c r="AR13" s="662"/>
      <c r="AS13" s="662"/>
      <c r="AT13" s="662"/>
      <c r="AU13" s="662"/>
      <c r="AV13" s="662"/>
      <c r="AW13" s="662"/>
      <c r="AX13" s="662"/>
      <c r="AY13" s="662"/>
      <c r="AZ13" s="662"/>
      <c r="BA13" s="662"/>
      <c r="BB13" s="662"/>
      <c r="BC13" s="662"/>
      <c r="BD13" s="662"/>
      <c r="BE13" s="662"/>
      <c r="BF13" s="662"/>
      <c r="BG13" s="662"/>
      <c r="BH13" s="662"/>
      <c r="BI13" s="662"/>
      <c r="BJ13" s="662"/>
      <c r="BK13" s="662"/>
      <c r="BL13" s="662"/>
      <c r="BM13" s="662"/>
      <c r="BN13" s="662"/>
      <c r="BO13" s="662"/>
      <c r="BP13" s="662"/>
      <c r="BQ13" s="662"/>
      <c r="BR13" s="662"/>
      <c r="BS13" s="662"/>
      <c r="BT13" s="662"/>
      <c r="BU13" s="662"/>
      <c r="BV13" s="662"/>
      <c r="BW13" s="662"/>
      <c r="BX13" s="733"/>
      <c r="BY13" s="673"/>
      <c r="BZ13" s="734"/>
      <c r="CA13" s="33" t="s">
        <v>103</v>
      </c>
      <c r="CB13" s="4" t="s">
        <v>51</v>
      </c>
      <c r="CC13" s="662"/>
      <c r="CD13" s="662"/>
      <c r="CE13" s="662"/>
      <c r="CF13" s="733"/>
      <c r="CG13" s="673"/>
      <c r="CH13" s="673"/>
      <c r="CI13" s="734"/>
      <c r="CJ13" s="733"/>
      <c r="CK13" s="673"/>
      <c r="CL13" s="673"/>
      <c r="CM13" s="673"/>
      <c r="CN13" s="673"/>
      <c r="CO13" s="673"/>
      <c r="CP13" s="734"/>
      <c r="CQ13" s="662"/>
      <c r="CR13" s="662"/>
      <c r="CS13" s="662"/>
      <c r="CT13" s="662"/>
      <c r="CU13" s="662"/>
      <c r="CV13" s="662"/>
      <c r="CW13" s="662"/>
      <c r="CX13" s="662"/>
      <c r="CY13" s="662"/>
      <c r="CZ13" s="662"/>
      <c r="DA13" s="662"/>
      <c r="DB13" s="662"/>
      <c r="DC13" s="662"/>
      <c r="DD13" s="662"/>
      <c r="DE13" s="662"/>
      <c r="DF13" s="666"/>
      <c r="DG13" s="665"/>
      <c r="DH13" s="664"/>
      <c r="DI13" s="664"/>
      <c r="DJ13" s="664"/>
      <c r="DK13" s="664"/>
      <c r="DL13" s="664"/>
      <c r="DM13" s="664"/>
      <c r="DN13" s="664"/>
      <c r="DO13" s="664"/>
      <c r="DP13" s="664"/>
      <c r="DQ13" s="664"/>
      <c r="DR13" s="664"/>
      <c r="DS13" s="664"/>
      <c r="DT13" s="664"/>
      <c r="DU13" s="664"/>
      <c r="DV13" s="658"/>
      <c r="DW13" s="658"/>
      <c r="DX13" s="658"/>
      <c r="DY13" s="658"/>
      <c r="DZ13" s="659"/>
    </row>
    <row r="14" spans="2:130" ht="20.100000000000001" customHeight="1">
      <c r="B14" s="568"/>
      <c r="C14" s="569"/>
      <c r="D14" s="569"/>
      <c r="E14" s="569"/>
      <c r="F14" s="570"/>
      <c r="G14" s="660"/>
      <c r="H14" s="661"/>
      <c r="I14" s="661"/>
      <c r="J14" s="661"/>
      <c r="K14" s="662"/>
      <c r="L14" s="662"/>
      <c r="M14" s="662"/>
      <c r="N14" s="662"/>
      <c r="O14" s="662"/>
      <c r="P14" s="662"/>
      <c r="Q14" s="662"/>
      <c r="R14" s="35" t="s">
        <v>54</v>
      </c>
      <c r="S14" s="662"/>
      <c r="T14" s="662"/>
      <c r="U14" s="35" t="s">
        <v>55</v>
      </c>
      <c r="V14" s="4" t="s">
        <v>51</v>
      </c>
      <c r="W14" s="730"/>
      <c r="X14" s="730"/>
      <c r="Y14" s="35" t="s">
        <v>55</v>
      </c>
      <c r="Z14" s="663"/>
      <c r="AA14" s="663"/>
      <c r="AB14" s="663"/>
      <c r="AC14" s="663"/>
      <c r="AD14" s="663"/>
      <c r="AE14" s="663"/>
      <c r="AF14" s="663"/>
      <c r="AG14" s="4" t="s">
        <v>51</v>
      </c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2"/>
      <c r="AW14" s="662"/>
      <c r="AX14" s="662"/>
      <c r="AY14" s="662"/>
      <c r="AZ14" s="662"/>
      <c r="BA14" s="662"/>
      <c r="BB14" s="662"/>
      <c r="BC14" s="662"/>
      <c r="BD14" s="662"/>
      <c r="BE14" s="662"/>
      <c r="BF14" s="662"/>
      <c r="BG14" s="662"/>
      <c r="BH14" s="662"/>
      <c r="BI14" s="662"/>
      <c r="BJ14" s="662"/>
      <c r="BK14" s="662"/>
      <c r="BL14" s="662"/>
      <c r="BM14" s="662"/>
      <c r="BN14" s="662"/>
      <c r="BO14" s="662"/>
      <c r="BP14" s="662"/>
      <c r="BQ14" s="662"/>
      <c r="BR14" s="662"/>
      <c r="BS14" s="662"/>
      <c r="BT14" s="662"/>
      <c r="BU14" s="662"/>
      <c r="BV14" s="662"/>
      <c r="BW14" s="662"/>
      <c r="BX14" s="733"/>
      <c r="BY14" s="673"/>
      <c r="BZ14" s="734"/>
      <c r="CA14" s="33" t="s">
        <v>103</v>
      </c>
      <c r="CB14" s="4" t="s">
        <v>51</v>
      </c>
      <c r="CC14" s="662"/>
      <c r="CD14" s="662"/>
      <c r="CE14" s="662"/>
      <c r="CF14" s="733"/>
      <c r="CG14" s="673"/>
      <c r="CH14" s="673"/>
      <c r="CI14" s="734"/>
      <c r="CJ14" s="733"/>
      <c r="CK14" s="673"/>
      <c r="CL14" s="673"/>
      <c r="CM14" s="673"/>
      <c r="CN14" s="673"/>
      <c r="CO14" s="673"/>
      <c r="CP14" s="734"/>
      <c r="CQ14" s="662"/>
      <c r="CR14" s="662"/>
      <c r="CS14" s="662"/>
      <c r="CT14" s="662"/>
      <c r="CU14" s="662"/>
      <c r="CV14" s="662"/>
      <c r="CW14" s="662"/>
      <c r="CX14" s="662"/>
      <c r="CY14" s="662"/>
      <c r="CZ14" s="662"/>
      <c r="DA14" s="662"/>
      <c r="DB14" s="662"/>
      <c r="DC14" s="662"/>
      <c r="DD14" s="662"/>
      <c r="DE14" s="662"/>
      <c r="DF14" s="666"/>
      <c r="DG14" s="665"/>
      <c r="DH14" s="664"/>
      <c r="DI14" s="664"/>
      <c r="DJ14" s="664"/>
      <c r="DK14" s="664"/>
      <c r="DL14" s="664"/>
      <c r="DM14" s="664"/>
      <c r="DN14" s="664"/>
      <c r="DO14" s="664"/>
      <c r="DP14" s="664"/>
      <c r="DQ14" s="664"/>
      <c r="DR14" s="664"/>
      <c r="DS14" s="664"/>
      <c r="DT14" s="664"/>
      <c r="DU14" s="664"/>
      <c r="DV14" s="658"/>
      <c r="DW14" s="658"/>
      <c r="DX14" s="658"/>
      <c r="DY14" s="658"/>
      <c r="DZ14" s="659"/>
    </row>
    <row r="15" spans="2:130" ht="20.100000000000001" customHeight="1">
      <c r="B15" s="568"/>
      <c r="C15" s="569"/>
      <c r="D15" s="569"/>
      <c r="E15" s="569"/>
      <c r="F15" s="570"/>
      <c r="G15" s="660"/>
      <c r="H15" s="661"/>
      <c r="I15" s="661"/>
      <c r="J15" s="661"/>
      <c r="K15" s="662"/>
      <c r="L15" s="662"/>
      <c r="M15" s="662"/>
      <c r="N15" s="662"/>
      <c r="O15" s="662"/>
      <c r="P15" s="662"/>
      <c r="Q15" s="662"/>
      <c r="R15" s="35" t="s">
        <v>54</v>
      </c>
      <c r="S15" s="662"/>
      <c r="T15" s="662"/>
      <c r="U15" s="35" t="s">
        <v>55</v>
      </c>
      <c r="V15" s="4" t="s">
        <v>51</v>
      </c>
      <c r="W15" s="730"/>
      <c r="X15" s="730"/>
      <c r="Y15" s="35" t="s">
        <v>55</v>
      </c>
      <c r="Z15" s="663"/>
      <c r="AA15" s="663"/>
      <c r="AB15" s="663"/>
      <c r="AC15" s="663"/>
      <c r="AD15" s="663"/>
      <c r="AE15" s="663"/>
      <c r="AF15" s="663"/>
      <c r="AG15" s="4" t="s">
        <v>51</v>
      </c>
      <c r="AH15" s="662"/>
      <c r="AI15" s="662"/>
      <c r="AJ15" s="662"/>
      <c r="AK15" s="662"/>
      <c r="AL15" s="662"/>
      <c r="AM15" s="662"/>
      <c r="AN15" s="662"/>
      <c r="AO15" s="662"/>
      <c r="AP15" s="662"/>
      <c r="AQ15" s="662"/>
      <c r="AR15" s="662"/>
      <c r="AS15" s="662"/>
      <c r="AT15" s="662"/>
      <c r="AU15" s="662"/>
      <c r="AV15" s="662"/>
      <c r="AW15" s="662"/>
      <c r="AX15" s="662"/>
      <c r="AY15" s="662"/>
      <c r="AZ15" s="662"/>
      <c r="BA15" s="662"/>
      <c r="BB15" s="662"/>
      <c r="BC15" s="662"/>
      <c r="BD15" s="662"/>
      <c r="BE15" s="662"/>
      <c r="BF15" s="662"/>
      <c r="BG15" s="662"/>
      <c r="BH15" s="662"/>
      <c r="BI15" s="662"/>
      <c r="BJ15" s="662"/>
      <c r="BK15" s="662"/>
      <c r="BL15" s="662"/>
      <c r="BM15" s="662"/>
      <c r="BN15" s="662"/>
      <c r="BO15" s="662"/>
      <c r="BP15" s="662"/>
      <c r="BQ15" s="662"/>
      <c r="BR15" s="662"/>
      <c r="BS15" s="662"/>
      <c r="BT15" s="662"/>
      <c r="BU15" s="662"/>
      <c r="BV15" s="662"/>
      <c r="BW15" s="662"/>
      <c r="BX15" s="733"/>
      <c r="BY15" s="673"/>
      <c r="BZ15" s="734"/>
      <c r="CA15" s="33" t="s">
        <v>103</v>
      </c>
      <c r="CB15" s="4" t="s">
        <v>51</v>
      </c>
      <c r="CC15" s="662"/>
      <c r="CD15" s="662"/>
      <c r="CE15" s="662"/>
      <c r="CF15" s="733"/>
      <c r="CG15" s="673"/>
      <c r="CH15" s="673"/>
      <c r="CI15" s="734"/>
      <c r="CJ15" s="733"/>
      <c r="CK15" s="673"/>
      <c r="CL15" s="673"/>
      <c r="CM15" s="673"/>
      <c r="CN15" s="673"/>
      <c r="CO15" s="673"/>
      <c r="CP15" s="734"/>
      <c r="CQ15" s="662"/>
      <c r="CR15" s="662"/>
      <c r="CS15" s="662"/>
      <c r="CT15" s="662"/>
      <c r="CU15" s="662"/>
      <c r="CV15" s="662"/>
      <c r="CW15" s="662"/>
      <c r="CX15" s="662"/>
      <c r="CY15" s="662"/>
      <c r="CZ15" s="662"/>
      <c r="DA15" s="662"/>
      <c r="DB15" s="662"/>
      <c r="DC15" s="662"/>
      <c r="DD15" s="662"/>
      <c r="DE15" s="662"/>
      <c r="DF15" s="666"/>
      <c r="DG15" s="665"/>
      <c r="DH15" s="664"/>
      <c r="DI15" s="664"/>
      <c r="DJ15" s="664"/>
      <c r="DK15" s="664"/>
      <c r="DL15" s="664"/>
      <c r="DM15" s="664"/>
      <c r="DN15" s="664"/>
      <c r="DO15" s="664"/>
      <c r="DP15" s="664"/>
      <c r="DQ15" s="664"/>
      <c r="DR15" s="664"/>
      <c r="DS15" s="664"/>
      <c r="DT15" s="664"/>
      <c r="DU15" s="664"/>
      <c r="DV15" s="658"/>
      <c r="DW15" s="658"/>
      <c r="DX15" s="658"/>
      <c r="DY15" s="658"/>
      <c r="DZ15" s="659"/>
    </row>
    <row r="16" spans="2:130" ht="20.100000000000001" customHeight="1">
      <c r="B16" s="568"/>
      <c r="C16" s="569"/>
      <c r="D16" s="569"/>
      <c r="E16" s="569"/>
      <c r="F16" s="570"/>
      <c r="G16" s="660"/>
      <c r="H16" s="661"/>
      <c r="I16" s="661"/>
      <c r="J16" s="661"/>
      <c r="K16" s="662"/>
      <c r="L16" s="662"/>
      <c r="M16" s="662"/>
      <c r="N16" s="662"/>
      <c r="O16" s="662"/>
      <c r="P16" s="662"/>
      <c r="Q16" s="662"/>
      <c r="R16" s="35" t="s">
        <v>54</v>
      </c>
      <c r="S16" s="662"/>
      <c r="T16" s="662"/>
      <c r="U16" s="35" t="s">
        <v>55</v>
      </c>
      <c r="V16" s="4" t="s">
        <v>51</v>
      </c>
      <c r="W16" s="730"/>
      <c r="X16" s="730"/>
      <c r="Y16" s="35" t="s">
        <v>55</v>
      </c>
      <c r="Z16" s="663"/>
      <c r="AA16" s="663"/>
      <c r="AB16" s="663"/>
      <c r="AC16" s="663"/>
      <c r="AD16" s="663"/>
      <c r="AE16" s="663"/>
      <c r="AF16" s="663"/>
      <c r="AG16" s="4" t="s">
        <v>51</v>
      </c>
      <c r="AH16" s="662"/>
      <c r="AI16" s="662"/>
      <c r="AJ16" s="662"/>
      <c r="AK16" s="662"/>
      <c r="AL16" s="662"/>
      <c r="AM16" s="662"/>
      <c r="AN16" s="662"/>
      <c r="AO16" s="662"/>
      <c r="AP16" s="662"/>
      <c r="AQ16" s="662"/>
      <c r="AR16" s="662"/>
      <c r="AS16" s="662"/>
      <c r="AT16" s="662"/>
      <c r="AU16" s="662"/>
      <c r="AV16" s="662"/>
      <c r="AW16" s="662"/>
      <c r="AX16" s="662"/>
      <c r="AY16" s="662"/>
      <c r="AZ16" s="662"/>
      <c r="BA16" s="662"/>
      <c r="BB16" s="662"/>
      <c r="BC16" s="662"/>
      <c r="BD16" s="662"/>
      <c r="BE16" s="662"/>
      <c r="BF16" s="662"/>
      <c r="BG16" s="662"/>
      <c r="BH16" s="662"/>
      <c r="BI16" s="662"/>
      <c r="BJ16" s="662"/>
      <c r="BK16" s="662"/>
      <c r="BL16" s="662"/>
      <c r="BM16" s="662"/>
      <c r="BN16" s="662"/>
      <c r="BO16" s="662"/>
      <c r="BP16" s="662"/>
      <c r="BQ16" s="662"/>
      <c r="BR16" s="662"/>
      <c r="BS16" s="662"/>
      <c r="BT16" s="662"/>
      <c r="BU16" s="662"/>
      <c r="BV16" s="662"/>
      <c r="BW16" s="662"/>
      <c r="BX16" s="733"/>
      <c r="BY16" s="673"/>
      <c r="BZ16" s="734"/>
      <c r="CA16" s="33" t="s">
        <v>103</v>
      </c>
      <c r="CB16" s="4" t="s">
        <v>51</v>
      </c>
      <c r="CC16" s="662"/>
      <c r="CD16" s="662"/>
      <c r="CE16" s="662"/>
      <c r="CF16" s="733"/>
      <c r="CG16" s="673"/>
      <c r="CH16" s="673"/>
      <c r="CI16" s="734"/>
      <c r="CJ16" s="733"/>
      <c r="CK16" s="673"/>
      <c r="CL16" s="673"/>
      <c r="CM16" s="673"/>
      <c r="CN16" s="673"/>
      <c r="CO16" s="673"/>
      <c r="CP16" s="734"/>
      <c r="CQ16" s="662"/>
      <c r="CR16" s="662"/>
      <c r="CS16" s="662"/>
      <c r="CT16" s="662"/>
      <c r="CU16" s="662"/>
      <c r="CV16" s="662"/>
      <c r="CW16" s="662"/>
      <c r="CX16" s="662"/>
      <c r="CY16" s="662"/>
      <c r="CZ16" s="662"/>
      <c r="DA16" s="662"/>
      <c r="DB16" s="662"/>
      <c r="DC16" s="662"/>
      <c r="DD16" s="662"/>
      <c r="DE16" s="662"/>
      <c r="DF16" s="666"/>
      <c r="DG16" s="665"/>
      <c r="DH16" s="664"/>
      <c r="DI16" s="664"/>
      <c r="DJ16" s="664"/>
      <c r="DK16" s="664"/>
      <c r="DL16" s="664"/>
      <c r="DM16" s="664"/>
      <c r="DN16" s="664"/>
      <c r="DO16" s="664"/>
      <c r="DP16" s="664"/>
      <c r="DQ16" s="664"/>
      <c r="DR16" s="664"/>
      <c r="DS16" s="664"/>
      <c r="DT16" s="664"/>
      <c r="DU16" s="664"/>
      <c r="DV16" s="658"/>
      <c r="DW16" s="658"/>
      <c r="DX16" s="658"/>
      <c r="DY16" s="658"/>
      <c r="DZ16" s="659"/>
    </row>
    <row r="17" spans="2:130" ht="20.100000000000001" customHeight="1">
      <c r="B17" s="568"/>
      <c r="C17" s="569"/>
      <c r="D17" s="569"/>
      <c r="E17" s="569"/>
      <c r="F17" s="570"/>
      <c r="G17" s="660"/>
      <c r="H17" s="661"/>
      <c r="I17" s="661"/>
      <c r="J17" s="661"/>
      <c r="K17" s="662"/>
      <c r="L17" s="662"/>
      <c r="M17" s="662"/>
      <c r="N17" s="662"/>
      <c r="O17" s="662"/>
      <c r="P17" s="662"/>
      <c r="Q17" s="662"/>
      <c r="R17" s="35" t="s">
        <v>54</v>
      </c>
      <c r="S17" s="662"/>
      <c r="T17" s="662"/>
      <c r="U17" s="35" t="s">
        <v>55</v>
      </c>
      <c r="V17" s="4" t="s">
        <v>51</v>
      </c>
      <c r="W17" s="730"/>
      <c r="X17" s="730"/>
      <c r="Y17" s="35" t="s">
        <v>55</v>
      </c>
      <c r="Z17" s="663"/>
      <c r="AA17" s="663"/>
      <c r="AB17" s="663"/>
      <c r="AC17" s="663"/>
      <c r="AD17" s="663"/>
      <c r="AE17" s="663"/>
      <c r="AF17" s="663"/>
      <c r="AG17" s="4" t="s">
        <v>51</v>
      </c>
      <c r="AH17" s="662"/>
      <c r="AI17" s="662"/>
      <c r="AJ17" s="662"/>
      <c r="AK17" s="662"/>
      <c r="AL17" s="662"/>
      <c r="AM17" s="662"/>
      <c r="AN17" s="662"/>
      <c r="AO17" s="662"/>
      <c r="AP17" s="662"/>
      <c r="AQ17" s="662"/>
      <c r="AR17" s="662"/>
      <c r="AS17" s="662"/>
      <c r="AT17" s="662"/>
      <c r="AU17" s="662"/>
      <c r="AV17" s="662"/>
      <c r="AW17" s="662"/>
      <c r="AX17" s="662"/>
      <c r="AY17" s="662"/>
      <c r="AZ17" s="662"/>
      <c r="BA17" s="662"/>
      <c r="BB17" s="662"/>
      <c r="BC17" s="662"/>
      <c r="BD17" s="662"/>
      <c r="BE17" s="662"/>
      <c r="BF17" s="662"/>
      <c r="BG17" s="662"/>
      <c r="BH17" s="662"/>
      <c r="BI17" s="662"/>
      <c r="BJ17" s="662"/>
      <c r="BK17" s="662"/>
      <c r="BL17" s="662"/>
      <c r="BM17" s="662"/>
      <c r="BN17" s="662"/>
      <c r="BO17" s="662"/>
      <c r="BP17" s="662"/>
      <c r="BQ17" s="662"/>
      <c r="BR17" s="662"/>
      <c r="BS17" s="662"/>
      <c r="BT17" s="662"/>
      <c r="BU17" s="662"/>
      <c r="BV17" s="662"/>
      <c r="BW17" s="662"/>
      <c r="BX17" s="733"/>
      <c r="BY17" s="673"/>
      <c r="BZ17" s="734"/>
      <c r="CA17" s="33" t="s">
        <v>103</v>
      </c>
      <c r="CB17" s="4" t="s">
        <v>51</v>
      </c>
      <c r="CC17" s="662"/>
      <c r="CD17" s="662"/>
      <c r="CE17" s="662"/>
      <c r="CF17" s="733"/>
      <c r="CG17" s="673"/>
      <c r="CH17" s="673"/>
      <c r="CI17" s="734"/>
      <c r="CJ17" s="733"/>
      <c r="CK17" s="673"/>
      <c r="CL17" s="673"/>
      <c r="CM17" s="673"/>
      <c r="CN17" s="673"/>
      <c r="CO17" s="673"/>
      <c r="CP17" s="734"/>
      <c r="CQ17" s="662"/>
      <c r="CR17" s="662"/>
      <c r="CS17" s="662"/>
      <c r="CT17" s="662"/>
      <c r="CU17" s="662"/>
      <c r="CV17" s="662"/>
      <c r="CW17" s="662"/>
      <c r="CX17" s="662"/>
      <c r="CY17" s="662"/>
      <c r="CZ17" s="662"/>
      <c r="DA17" s="662"/>
      <c r="DB17" s="662"/>
      <c r="DC17" s="662"/>
      <c r="DD17" s="662"/>
      <c r="DE17" s="662"/>
      <c r="DF17" s="666"/>
      <c r="DG17" s="665"/>
      <c r="DH17" s="664"/>
      <c r="DI17" s="664"/>
      <c r="DJ17" s="664"/>
      <c r="DK17" s="664"/>
      <c r="DL17" s="664"/>
      <c r="DM17" s="664"/>
      <c r="DN17" s="664"/>
      <c r="DO17" s="664"/>
      <c r="DP17" s="664"/>
      <c r="DQ17" s="664"/>
      <c r="DR17" s="664"/>
      <c r="DS17" s="664"/>
      <c r="DT17" s="664"/>
      <c r="DU17" s="664"/>
      <c r="DV17" s="658"/>
      <c r="DW17" s="658"/>
      <c r="DX17" s="658"/>
      <c r="DY17" s="658"/>
      <c r="DZ17" s="659"/>
    </row>
    <row r="18" spans="2:130" ht="20.100000000000001" customHeight="1" thickBot="1">
      <c r="B18" s="571"/>
      <c r="C18" s="572"/>
      <c r="D18" s="572"/>
      <c r="E18" s="572"/>
      <c r="F18" s="573"/>
      <c r="G18" s="729"/>
      <c r="H18" s="676"/>
      <c r="I18" s="676"/>
      <c r="J18" s="676"/>
      <c r="K18" s="724"/>
      <c r="L18" s="724"/>
      <c r="M18" s="724"/>
      <c r="N18" s="724"/>
      <c r="O18" s="724"/>
      <c r="P18" s="724"/>
      <c r="Q18" s="724"/>
      <c r="R18" s="36" t="s">
        <v>54</v>
      </c>
      <c r="S18" s="724"/>
      <c r="T18" s="724"/>
      <c r="U18" s="36" t="s">
        <v>55</v>
      </c>
      <c r="V18" s="5" t="s">
        <v>51</v>
      </c>
      <c r="W18" s="731"/>
      <c r="X18" s="731"/>
      <c r="Y18" s="36" t="s">
        <v>55</v>
      </c>
      <c r="Z18" s="732"/>
      <c r="AA18" s="732"/>
      <c r="AB18" s="732"/>
      <c r="AC18" s="732"/>
      <c r="AD18" s="732"/>
      <c r="AE18" s="732"/>
      <c r="AF18" s="732"/>
      <c r="AG18" s="5" t="s">
        <v>51</v>
      </c>
      <c r="AH18" s="724"/>
      <c r="AI18" s="724"/>
      <c r="AJ18" s="724"/>
      <c r="AK18" s="724"/>
      <c r="AL18" s="724"/>
      <c r="AM18" s="724"/>
      <c r="AN18" s="724"/>
      <c r="AO18" s="724"/>
      <c r="AP18" s="724"/>
      <c r="AQ18" s="724"/>
      <c r="AR18" s="724"/>
      <c r="AS18" s="724"/>
      <c r="AT18" s="724"/>
      <c r="AU18" s="724"/>
      <c r="AV18" s="724"/>
      <c r="AW18" s="724"/>
      <c r="AX18" s="724"/>
      <c r="AY18" s="724"/>
      <c r="AZ18" s="724"/>
      <c r="BA18" s="724"/>
      <c r="BB18" s="724"/>
      <c r="BC18" s="724"/>
      <c r="BD18" s="724"/>
      <c r="BE18" s="724"/>
      <c r="BF18" s="724"/>
      <c r="BG18" s="724"/>
      <c r="BH18" s="724"/>
      <c r="BI18" s="724"/>
      <c r="BJ18" s="724"/>
      <c r="BK18" s="724"/>
      <c r="BL18" s="724"/>
      <c r="BM18" s="724"/>
      <c r="BN18" s="724"/>
      <c r="BO18" s="724"/>
      <c r="BP18" s="724"/>
      <c r="BQ18" s="724"/>
      <c r="BR18" s="724"/>
      <c r="BS18" s="724"/>
      <c r="BT18" s="724"/>
      <c r="BU18" s="724"/>
      <c r="BV18" s="724"/>
      <c r="BW18" s="724"/>
      <c r="BX18" s="733"/>
      <c r="BY18" s="673"/>
      <c r="BZ18" s="734"/>
      <c r="CA18" s="33" t="s">
        <v>103</v>
      </c>
      <c r="CB18" s="5" t="s">
        <v>51</v>
      </c>
      <c r="CC18" s="724"/>
      <c r="CD18" s="724"/>
      <c r="CE18" s="724"/>
      <c r="CF18" s="733"/>
      <c r="CG18" s="673"/>
      <c r="CH18" s="673"/>
      <c r="CI18" s="734"/>
      <c r="CJ18" s="733"/>
      <c r="CK18" s="673"/>
      <c r="CL18" s="673"/>
      <c r="CM18" s="673"/>
      <c r="CN18" s="673"/>
      <c r="CO18" s="673"/>
      <c r="CP18" s="734"/>
      <c r="CQ18" s="724"/>
      <c r="CR18" s="724"/>
      <c r="CS18" s="724"/>
      <c r="CT18" s="724"/>
      <c r="CU18" s="724"/>
      <c r="CV18" s="724"/>
      <c r="CW18" s="724"/>
      <c r="CX18" s="724"/>
      <c r="CY18" s="724"/>
      <c r="CZ18" s="724"/>
      <c r="DA18" s="724"/>
      <c r="DB18" s="724"/>
      <c r="DC18" s="724"/>
      <c r="DD18" s="724"/>
      <c r="DE18" s="724"/>
      <c r="DF18" s="735"/>
      <c r="DG18" s="739"/>
      <c r="DH18" s="736"/>
      <c r="DI18" s="736"/>
      <c r="DJ18" s="736"/>
      <c r="DK18" s="736"/>
      <c r="DL18" s="736"/>
      <c r="DM18" s="736"/>
      <c r="DN18" s="736"/>
      <c r="DO18" s="736"/>
      <c r="DP18" s="736"/>
      <c r="DQ18" s="736"/>
      <c r="DR18" s="736"/>
      <c r="DS18" s="736"/>
      <c r="DT18" s="736"/>
      <c r="DU18" s="736"/>
      <c r="DV18" s="737"/>
      <c r="DW18" s="737"/>
      <c r="DX18" s="737"/>
      <c r="DY18" s="737"/>
      <c r="DZ18" s="738"/>
    </row>
    <row r="19" spans="2:130" ht="20.100000000000001" customHeight="1">
      <c r="B19" s="538" t="s">
        <v>26</v>
      </c>
      <c r="C19" s="539"/>
      <c r="D19" s="539"/>
      <c r="E19" s="539"/>
      <c r="F19" s="540"/>
      <c r="G19" s="593" t="s">
        <v>20</v>
      </c>
      <c r="H19" s="512"/>
      <c r="I19" s="512"/>
      <c r="J19" s="512"/>
      <c r="K19" s="512" t="s">
        <v>40</v>
      </c>
      <c r="L19" s="512"/>
      <c r="M19" s="512"/>
      <c r="N19" s="512"/>
      <c r="O19" s="512"/>
      <c r="P19" s="512"/>
      <c r="Q19" s="512"/>
      <c r="R19" s="512"/>
      <c r="S19" s="512"/>
      <c r="T19" s="512"/>
      <c r="U19" s="512"/>
      <c r="V19" s="512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12" t="s">
        <v>44</v>
      </c>
      <c r="AQ19" s="512"/>
      <c r="AR19" s="512"/>
      <c r="AS19" s="512"/>
      <c r="AT19" s="512"/>
      <c r="AU19" s="512"/>
      <c r="AV19" s="512"/>
      <c r="AW19" s="512"/>
      <c r="AX19" s="512"/>
      <c r="AY19" s="512"/>
      <c r="AZ19" s="512"/>
      <c r="BA19" s="512"/>
      <c r="BB19" s="512"/>
      <c r="BC19" s="512"/>
      <c r="BD19" s="512"/>
      <c r="BE19" s="512"/>
      <c r="BF19" s="512"/>
      <c r="BG19" s="512" t="s">
        <v>41</v>
      </c>
      <c r="BH19" s="512"/>
      <c r="BI19" s="512"/>
      <c r="BJ19" s="512"/>
      <c r="BK19" s="512"/>
      <c r="BL19" s="512" t="s">
        <v>42</v>
      </c>
      <c r="BM19" s="512"/>
      <c r="BN19" s="512"/>
      <c r="BO19" s="512"/>
      <c r="BP19" s="512"/>
      <c r="BQ19" s="512"/>
      <c r="BR19" s="512"/>
      <c r="BS19" s="512"/>
      <c r="BT19" s="512"/>
      <c r="BU19" s="512"/>
      <c r="BV19" s="512"/>
      <c r="BW19" s="512"/>
      <c r="BX19" s="512"/>
      <c r="BY19" s="512"/>
      <c r="BZ19" s="512"/>
      <c r="CA19" s="512"/>
      <c r="CB19" s="512"/>
      <c r="CC19" s="512"/>
      <c r="CD19" s="512"/>
      <c r="CE19" s="512"/>
      <c r="CF19" s="512"/>
      <c r="CG19" s="512"/>
      <c r="CH19" s="512"/>
      <c r="CI19" s="512"/>
      <c r="CJ19" s="512"/>
      <c r="CK19" s="512"/>
      <c r="CL19" s="512"/>
      <c r="CM19" s="512"/>
      <c r="CN19" s="512"/>
      <c r="CO19" s="512"/>
      <c r="CP19" s="512"/>
      <c r="CQ19" s="512"/>
      <c r="CR19" s="512"/>
      <c r="CS19" s="512"/>
      <c r="CT19" s="512"/>
      <c r="CU19" s="512"/>
      <c r="CV19" s="512"/>
      <c r="CW19" s="512"/>
      <c r="CX19" s="512"/>
      <c r="CY19" s="512"/>
      <c r="CZ19" s="512"/>
      <c r="DA19" s="512"/>
      <c r="DB19" s="512"/>
      <c r="DC19" s="512"/>
      <c r="DD19" s="512"/>
      <c r="DE19" s="512"/>
      <c r="DF19" s="512"/>
      <c r="DG19" s="512"/>
      <c r="DH19" s="512"/>
      <c r="DI19" s="512"/>
      <c r="DJ19" s="512"/>
      <c r="DK19" s="512"/>
      <c r="DL19" s="512"/>
      <c r="DM19" s="512"/>
      <c r="DN19" s="512"/>
      <c r="DO19" s="512"/>
      <c r="DP19" s="512"/>
      <c r="DQ19" s="512"/>
      <c r="DR19" s="512"/>
      <c r="DS19" s="512"/>
      <c r="DT19" s="512"/>
      <c r="DU19" s="512"/>
      <c r="DV19" s="512"/>
      <c r="DW19" s="512"/>
      <c r="DX19" s="512"/>
      <c r="DY19" s="512"/>
      <c r="DZ19" s="657"/>
    </row>
    <row r="20" spans="2:130" ht="20.100000000000001" customHeight="1">
      <c r="B20" s="590"/>
      <c r="C20" s="591"/>
      <c r="D20" s="591"/>
      <c r="E20" s="591"/>
      <c r="F20" s="592"/>
      <c r="G20" s="740" t="s">
        <v>86</v>
      </c>
      <c r="H20" s="730"/>
      <c r="I20" s="730"/>
      <c r="J20" s="730"/>
      <c r="K20" s="730" t="s">
        <v>115</v>
      </c>
      <c r="L20" s="730"/>
      <c r="M20" s="730"/>
      <c r="N20" s="730"/>
      <c r="O20" s="730"/>
      <c r="P20" s="730"/>
      <c r="Q20" s="730"/>
      <c r="R20" s="730"/>
      <c r="S20" s="730"/>
      <c r="T20" s="730"/>
      <c r="U20" s="730"/>
      <c r="V20" s="730"/>
      <c r="W20" s="730"/>
      <c r="X20" s="730"/>
      <c r="Y20" s="730"/>
      <c r="Z20" s="730"/>
      <c r="AA20" s="730"/>
      <c r="AB20" s="730"/>
      <c r="AC20" s="730"/>
      <c r="AD20" s="730"/>
      <c r="AE20" s="730"/>
      <c r="AF20" s="730"/>
      <c r="AG20" s="730"/>
      <c r="AH20" s="730"/>
      <c r="AI20" s="730"/>
      <c r="AJ20" s="730"/>
      <c r="AK20" s="730"/>
      <c r="AL20" s="730"/>
      <c r="AM20" s="730"/>
      <c r="AN20" s="730"/>
      <c r="AO20" s="730"/>
      <c r="AP20" s="730" t="s">
        <v>117</v>
      </c>
      <c r="AQ20" s="730"/>
      <c r="AR20" s="730"/>
      <c r="AS20" s="730"/>
      <c r="AT20" s="730"/>
      <c r="AU20" s="730"/>
      <c r="AV20" s="730"/>
      <c r="AW20" s="730"/>
      <c r="AX20" s="730"/>
      <c r="AY20" s="730"/>
      <c r="AZ20" s="730"/>
      <c r="BA20" s="730"/>
      <c r="BB20" s="730"/>
      <c r="BC20" s="730"/>
      <c r="BD20" s="730"/>
      <c r="BE20" s="730"/>
      <c r="BF20" s="730"/>
      <c r="BG20" s="730" t="s">
        <v>109</v>
      </c>
      <c r="BH20" s="730"/>
      <c r="BI20" s="730"/>
      <c r="BJ20" s="730"/>
      <c r="BK20" s="730"/>
      <c r="BL20" s="741"/>
      <c r="BM20" s="741"/>
      <c r="BN20" s="741"/>
      <c r="BO20" s="741"/>
      <c r="BP20" s="741"/>
      <c r="BQ20" s="741"/>
      <c r="BR20" s="741"/>
      <c r="BS20" s="741"/>
      <c r="BT20" s="741"/>
      <c r="BU20" s="741"/>
      <c r="BV20" s="741"/>
      <c r="BW20" s="741"/>
      <c r="BX20" s="741"/>
      <c r="BY20" s="741"/>
      <c r="BZ20" s="741"/>
      <c r="CA20" s="741"/>
      <c r="CB20" s="741"/>
      <c r="CC20" s="741"/>
      <c r="CD20" s="741"/>
      <c r="CE20" s="741"/>
      <c r="CF20" s="741"/>
      <c r="CG20" s="741"/>
      <c r="CH20" s="741"/>
      <c r="CI20" s="741"/>
      <c r="CJ20" s="741"/>
      <c r="CK20" s="741"/>
      <c r="CL20" s="741"/>
      <c r="CM20" s="741"/>
      <c r="CN20" s="741"/>
      <c r="CO20" s="741"/>
      <c r="CP20" s="741"/>
      <c r="CQ20" s="741"/>
      <c r="CR20" s="741"/>
      <c r="CS20" s="741"/>
      <c r="CT20" s="741"/>
      <c r="CU20" s="741"/>
      <c r="CV20" s="741"/>
      <c r="CW20" s="741"/>
      <c r="CX20" s="741"/>
      <c r="CY20" s="741"/>
      <c r="CZ20" s="741"/>
      <c r="DA20" s="741"/>
      <c r="DB20" s="741"/>
      <c r="DC20" s="741"/>
      <c r="DD20" s="741"/>
      <c r="DE20" s="741"/>
      <c r="DF20" s="741"/>
      <c r="DG20" s="741"/>
      <c r="DH20" s="741"/>
      <c r="DI20" s="741"/>
      <c r="DJ20" s="741"/>
      <c r="DK20" s="741"/>
      <c r="DL20" s="741"/>
      <c r="DM20" s="741"/>
      <c r="DN20" s="741"/>
      <c r="DO20" s="741"/>
      <c r="DP20" s="741"/>
      <c r="DQ20" s="741"/>
      <c r="DR20" s="741"/>
      <c r="DS20" s="741"/>
      <c r="DT20" s="741"/>
      <c r="DU20" s="741"/>
      <c r="DV20" s="741"/>
      <c r="DW20" s="741"/>
      <c r="DX20" s="741"/>
      <c r="DY20" s="741"/>
      <c r="DZ20" s="742"/>
    </row>
    <row r="21" spans="2:130" ht="20.100000000000001" customHeight="1">
      <c r="B21" s="590"/>
      <c r="C21" s="591"/>
      <c r="D21" s="591"/>
      <c r="E21" s="591"/>
      <c r="F21" s="592"/>
      <c r="G21" s="740" t="s">
        <v>88</v>
      </c>
      <c r="H21" s="730"/>
      <c r="I21" s="730"/>
      <c r="J21" s="730"/>
      <c r="K21" s="730" t="s">
        <v>116</v>
      </c>
      <c r="L21" s="730"/>
      <c r="M21" s="730"/>
      <c r="N21" s="730"/>
      <c r="O21" s="730"/>
      <c r="P21" s="730"/>
      <c r="Q21" s="730"/>
      <c r="R21" s="730"/>
      <c r="S21" s="730"/>
      <c r="T21" s="730"/>
      <c r="U21" s="730"/>
      <c r="V21" s="730"/>
      <c r="W21" s="730"/>
      <c r="X21" s="730"/>
      <c r="Y21" s="730"/>
      <c r="Z21" s="730"/>
      <c r="AA21" s="730"/>
      <c r="AB21" s="730"/>
      <c r="AC21" s="730"/>
      <c r="AD21" s="730"/>
      <c r="AE21" s="730"/>
      <c r="AF21" s="730"/>
      <c r="AG21" s="730"/>
      <c r="AH21" s="730"/>
      <c r="AI21" s="730"/>
      <c r="AJ21" s="730"/>
      <c r="AK21" s="730"/>
      <c r="AL21" s="730"/>
      <c r="AM21" s="730"/>
      <c r="AN21" s="730"/>
      <c r="AO21" s="730"/>
      <c r="AP21" s="730" t="s">
        <v>118</v>
      </c>
      <c r="AQ21" s="730"/>
      <c r="AR21" s="730"/>
      <c r="AS21" s="730"/>
      <c r="AT21" s="730"/>
      <c r="AU21" s="730"/>
      <c r="AV21" s="730"/>
      <c r="AW21" s="730"/>
      <c r="AX21" s="730"/>
      <c r="AY21" s="730"/>
      <c r="AZ21" s="730"/>
      <c r="BA21" s="730"/>
      <c r="BB21" s="730"/>
      <c r="BC21" s="730"/>
      <c r="BD21" s="730"/>
      <c r="BE21" s="730"/>
      <c r="BF21" s="730"/>
      <c r="BG21" s="730" t="s">
        <v>109</v>
      </c>
      <c r="BH21" s="730"/>
      <c r="BI21" s="730"/>
      <c r="BJ21" s="730"/>
      <c r="BK21" s="730"/>
      <c r="BL21" s="741"/>
      <c r="BM21" s="741"/>
      <c r="BN21" s="741"/>
      <c r="BO21" s="741"/>
      <c r="BP21" s="741"/>
      <c r="BQ21" s="741"/>
      <c r="BR21" s="741"/>
      <c r="BS21" s="741"/>
      <c r="BT21" s="741"/>
      <c r="BU21" s="741"/>
      <c r="BV21" s="741"/>
      <c r="BW21" s="741"/>
      <c r="BX21" s="741"/>
      <c r="BY21" s="741"/>
      <c r="BZ21" s="741"/>
      <c r="CA21" s="741"/>
      <c r="CB21" s="741"/>
      <c r="CC21" s="741"/>
      <c r="CD21" s="741"/>
      <c r="CE21" s="741"/>
      <c r="CF21" s="741"/>
      <c r="CG21" s="741"/>
      <c r="CH21" s="741"/>
      <c r="CI21" s="741"/>
      <c r="CJ21" s="741"/>
      <c r="CK21" s="741"/>
      <c r="CL21" s="741"/>
      <c r="CM21" s="741"/>
      <c r="CN21" s="741"/>
      <c r="CO21" s="741"/>
      <c r="CP21" s="741"/>
      <c r="CQ21" s="741"/>
      <c r="CR21" s="741"/>
      <c r="CS21" s="741"/>
      <c r="CT21" s="741"/>
      <c r="CU21" s="741"/>
      <c r="CV21" s="741"/>
      <c r="CW21" s="741"/>
      <c r="CX21" s="741"/>
      <c r="CY21" s="741"/>
      <c r="CZ21" s="741"/>
      <c r="DA21" s="741"/>
      <c r="DB21" s="741"/>
      <c r="DC21" s="741"/>
      <c r="DD21" s="741"/>
      <c r="DE21" s="741"/>
      <c r="DF21" s="741"/>
      <c r="DG21" s="741"/>
      <c r="DH21" s="741"/>
      <c r="DI21" s="741"/>
      <c r="DJ21" s="741"/>
      <c r="DK21" s="741"/>
      <c r="DL21" s="741"/>
      <c r="DM21" s="741"/>
      <c r="DN21" s="741"/>
      <c r="DO21" s="741"/>
      <c r="DP21" s="741"/>
      <c r="DQ21" s="741"/>
      <c r="DR21" s="741"/>
      <c r="DS21" s="741"/>
      <c r="DT21" s="741"/>
      <c r="DU21" s="741"/>
      <c r="DV21" s="741"/>
      <c r="DW21" s="741"/>
      <c r="DX21" s="741"/>
      <c r="DY21" s="741"/>
      <c r="DZ21" s="742"/>
    </row>
    <row r="22" spans="2:130" ht="20.100000000000001" customHeight="1">
      <c r="B22" s="590"/>
      <c r="C22" s="591"/>
      <c r="D22" s="591"/>
      <c r="E22" s="591"/>
      <c r="F22" s="592"/>
      <c r="G22" s="740"/>
      <c r="H22" s="730"/>
      <c r="I22" s="730"/>
      <c r="J22" s="730"/>
      <c r="K22" s="730"/>
      <c r="L22" s="730"/>
      <c r="M22" s="730"/>
      <c r="N22" s="730"/>
      <c r="O22" s="730"/>
      <c r="P22" s="730"/>
      <c r="Q22" s="730"/>
      <c r="R22" s="730"/>
      <c r="S22" s="730"/>
      <c r="T22" s="730"/>
      <c r="U22" s="730"/>
      <c r="V22" s="730"/>
      <c r="W22" s="730"/>
      <c r="X22" s="730"/>
      <c r="Y22" s="730"/>
      <c r="Z22" s="730"/>
      <c r="AA22" s="730"/>
      <c r="AB22" s="730"/>
      <c r="AC22" s="730"/>
      <c r="AD22" s="730"/>
      <c r="AE22" s="730"/>
      <c r="AF22" s="730"/>
      <c r="AG22" s="730"/>
      <c r="AH22" s="730"/>
      <c r="AI22" s="730"/>
      <c r="AJ22" s="730"/>
      <c r="AK22" s="730"/>
      <c r="AL22" s="730"/>
      <c r="AM22" s="730"/>
      <c r="AN22" s="730"/>
      <c r="AO22" s="730"/>
      <c r="AP22" s="730"/>
      <c r="AQ22" s="730"/>
      <c r="AR22" s="730"/>
      <c r="AS22" s="730"/>
      <c r="AT22" s="730"/>
      <c r="AU22" s="730"/>
      <c r="AV22" s="730"/>
      <c r="AW22" s="730"/>
      <c r="AX22" s="730"/>
      <c r="AY22" s="730"/>
      <c r="AZ22" s="730"/>
      <c r="BA22" s="730"/>
      <c r="BB22" s="730"/>
      <c r="BC22" s="730"/>
      <c r="BD22" s="730"/>
      <c r="BE22" s="730"/>
      <c r="BF22" s="730"/>
      <c r="BG22" s="730"/>
      <c r="BH22" s="730"/>
      <c r="BI22" s="730"/>
      <c r="BJ22" s="730"/>
      <c r="BK22" s="730"/>
      <c r="BL22" s="741"/>
      <c r="BM22" s="741"/>
      <c r="BN22" s="741"/>
      <c r="BO22" s="741"/>
      <c r="BP22" s="741"/>
      <c r="BQ22" s="741"/>
      <c r="BR22" s="741"/>
      <c r="BS22" s="741"/>
      <c r="BT22" s="741"/>
      <c r="BU22" s="741"/>
      <c r="BV22" s="741"/>
      <c r="BW22" s="741"/>
      <c r="BX22" s="741"/>
      <c r="BY22" s="741"/>
      <c r="BZ22" s="741"/>
      <c r="CA22" s="741"/>
      <c r="CB22" s="741"/>
      <c r="CC22" s="741"/>
      <c r="CD22" s="741"/>
      <c r="CE22" s="741"/>
      <c r="CF22" s="741"/>
      <c r="CG22" s="741"/>
      <c r="CH22" s="741"/>
      <c r="CI22" s="741"/>
      <c r="CJ22" s="741"/>
      <c r="CK22" s="741"/>
      <c r="CL22" s="741"/>
      <c r="CM22" s="741"/>
      <c r="CN22" s="741"/>
      <c r="CO22" s="741"/>
      <c r="CP22" s="741"/>
      <c r="CQ22" s="741"/>
      <c r="CR22" s="741"/>
      <c r="CS22" s="741"/>
      <c r="CT22" s="741"/>
      <c r="CU22" s="741"/>
      <c r="CV22" s="741"/>
      <c r="CW22" s="741"/>
      <c r="CX22" s="741"/>
      <c r="CY22" s="741"/>
      <c r="CZ22" s="741"/>
      <c r="DA22" s="741"/>
      <c r="DB22" s="741"/>
      <c r="DC22" s="741"/>
      <c r="DD22" s="741"/>
      <c r="DE22" s="741"/>
      <c r="DF22" s="741"/>
      <c r="DG22" s="741"/>
      <c r="DH22" s="741"/>
      <c r="DI22" s="741"/>
      <c r="DJ22" s="741"/>
      <c r="DK22" s="741"/>
      <c r="DL22" s="741"/>
      <c r="DM22" s="741"/>
      <c r="DN22" s="741"/>
      <c r="DO22" s="741"/>
      <c r="DP22" s="741"/>
      <c r="DQ22" s="741"/>
      <c r="DR22" s="741"/>
      <c r="DS22" s="741"/>
      <c r="DT22" s="741"/>
      <c r="DU22" s="741"/>
      <c r="DV22" s="741"/>
      <c r="DW22" s="741"/>
      <c r="DX22" s="741"/>
      <c r="DY22" s="741"/>
      <c r="DZ22" s="742"/>
    </row>
    <row r="23" spans="2:130" ht="20.100000000000001" customHeight="1">
      <c r="B23" s="590"/>
      <c r="C23" s="591"/>
      <c r="D23" s="591"/>
      <c r="E23" s="591"/>
      <c r="F23" s="592"/>
      <c r="G23" s="740"/>
      <c r="H23" s="730"/>
      <c r="I23" s="730"/>
      <c r="J23" s="730"/>
      <c r="K23" s="730"/>
      <c r="L23" s="730"/>
      <c r="M23" s="730"/>
      <c r="N23" s="730"/>
      <c r="O23" s="730"/>
      <c r="P23" s="730"/>
      <c r="Q23" s="730"/>
      <c r="R23" s="730"/>
      <c r="S23" s="730"/>
      <c r="T23" s="730"/>
      <c r="U23" s="730"/>
      <c r="V23" s="730"/>
      <c r="W23" s="730"/>
      <c r="X23" s="730"/>
      <c r="Y23" s="730"/>
      <c r="Z23" s="730"/>
      <c r="AA23" s="730"/>
      <c r="AB23" s="730"/>
      <c r="AC23" s="730"/>
      <c r="AD23" s="730"/>
      <c r="AE23" s="730"/>
      <c r="AF23" s="730"/>
      <c r="AG23" s="730"/>
      <c r="AH23" s="730"/>
      <c r="AI23" s="730"/>
      <c r="AJ23" s="730"/>
      <c r="AK23" s="730"/>
      <c r="AL23" s="730"/>
      <c r="AM23" s="730"/>
      <c r="AN23" s="730"/>
      <c r="AO23" s="730"/>
      <c r="AP23" s="730"/>
      <c r="AQ23" s="730"/>
      <c r="AR23" s="730"/>
      <c r="AS23" s="730"/>
      <c r="AT23" s="730"/>
      <c r="AU23" s="730"/>
      <c r="AV23" s="730"/>
      <c r="AW23" s="730"/>
      <c r="AX23" s="730"/>
      <c r="AY23" s="730"/>
      <c r="AZ23" s="730"/>
      <c r="BA23" s="730"/>
      <c r="BB23" s="730"/>
      <c r="BC23" s="730"/>
      <c r="BD23" s="730"/>
      <c r="BE23" s="730"/>
      <c r="BF23" s="730"/>
      <c r="BG23" s="730"/>
      <c r="BH23" s="730"/>
      <c r="BI23" s="730"/>
      <c r="BJ23" s="730"/>
      <c r="BK23" s="730"/>
      <c r="BL23" s="741"/>
      <c r="BM23" s="741"/>
      <c r="BN23" s="741"/>
      <c r="BO23" s="741"/>
      <c r="BP23" s="741"/>
      <c r="BQ23" s="741"/>
      <c r="BR23" s="741"/>
      <c r="BS23" s="741"/>
      <c r="BT23" s="741"/>
      <c r="BU23" s="741"/>
      <c r="BV23" s="741"/>
      <c r="BW23" s="741"/>
      <c r="BX23" s="741"/>
      <c r="BY23" s="741"/>
      <c r="BZ23" s="741"/>
      <c r="CA23" s="741"/>
      <c r="CB23" s="741"/>
      <c r="CC23" s="741"/>
      <c r="CD23" s="741"/>
      <c r="CE23" s="741"/>
      <c r="CF23" s="741"/>
      <c r="CG23" s="741"/>
      <c r="CH23" s="741"/>
      <c r="CI23" s="741"/>
      <c r="CJ23" s="741"/>
      <c r="CK23" s="741"/>
      <c r="CL23" s="741"/>
      <c r="CM23" s="741"/>
      <c r="CN23" s="741"/>
      <c r="CO23" s="741"/>
      <c r="CP23" s="741"/>
      <c r="CQ23" s="741"/>
      <c r="CR23" s="741"/>
      <c r="CS23" s="741"/>
      <c r="CT23" s="741"/>
      <c r="CU23" s="741"/>
      <c r="CV23" s="741"/>
      <c r="CW23" s="741"/>
      <c r="CX23" s="741"/>
      <c r="CY23" s="741"/>
      <c r="CZ23" s="741"/>
      <c r="DA23" s="741"/>
      <c r="DB23" s="741"/>
      <c r="DC23" s="741"/>
      <c r="DD23" s="741"/>
      <c r="DE23" s="741"/>
      <c r="DF23" s="741"/>
      <c r="DG23" s="741"/>
      <c r="DH23" s="741"/>
      <c r="DI23" s="741"/>
      <c r="DJ23" s="741"/>
      <c r="DK23" s="741"/>
      <c r="DL23" s="741"/>
      <c r="DM23" s="741"/>
      <c r="DN23" s="741"/>
      <c r="DO23" s="741"/>
      <c r="DP23" s="741"/>
      <c r="DQ23" s="741"/>
      <c r="DR23" s="741"/>
      <c r="DS23" s="741"/>
      <c r="DT23" s="741"/>
      <c r="DU23" s="741"/>
      <c r="DV23" s="741"/>
      <c r="DW23" s="741"/>
      <c r="DX23" s="741"/>
      <c r="DY23" s="741"/>
      <c r="DZ23" s="742"/>
    </row>
    <row r="24" spans="2:130" ht="20.100000000000001" customHeight="1" thickBot="1">
      <c r="B24" s="541"/>
      <c r="C24" s="481"/>
      <c r="D24" s="481"/>
      <c r="E24" s="481"/>
      <c r="F24" s="542"/>
      <c r="G24" s="745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  <c r="S24" s="724"/>
      <c r="T24" s="724"/>
      <c r="U24" s="724"/>
      <c r="V24" s="724"/>
      <c r="W24" s="724"/>
      <c r="X24" s="724"/>
      <c r="Y24" s="724"/>
      <c r="Z24" s="724"/>
      <c r="AA24" s="724"/>
      <c r="AB24" s="724"/>
      <c r="AC24" s="724"/>
      <c r="AD24" s="724"/>
      <c r="AE24" s="724"/>
      <c r="AF24" s="724"/>
      <c r="AG24" s="724"/>
      <c r="AH24" s="724"/>
      <c r="AI24" s="724"/>
      <c r="AJ24" s="724"/>
      <c r="AK24" s="724"/>
      <c r="AL24" s="724"/>
      <c r="AM24" s="724"/>
      <c r="AN24" s="724"/>
      <c r="AO24" s="724"/>
      <c r="AP24" s="724"/>
      <c r="AQ24" s="724"/>
      <c r="AR24" s="724"/>
      <c r="AS24" s="724"/>
      <c r="AT24" s="724"/>
      <c r="AU24" s="724"/>
      <c r="AV24" s="724"/>
      <c r="AW24" s="724"/>
      <c r="AX24" s="724"/>
      <c r="AY24" s="724"/>
      <c r="AZ24" s="724"/>
      <c r="BA24" s="724"/>
      <c r="BB24" s="724"/>
      <c r="BC24" s="724"/>
      <c r="BD24" s="724"/>
      <c r="BE24" s="724"/>
      <c r="BF24" s="724"/>
      <c r="BG24" s="724"/>
      <c r="BH24" s="724"/>
      <c r="BI24" s="724"/>
      <c r="BJ24" s="724"/>
      <c r="BK24" s="724"/>
      <c r="BL24" s="746"/>
      <c r="BM24" s="746"/>
      <c r="BN24" s="746"/>
      <c r="BO24" s="746"/>
      <c r="BP24" s="746"/>
      <c r="BQ24" s="746"/>
      <c r="BR24" s="746"/>
      <c r="BS24" s="746"/>
      <c r="BT24" s="746"/>
      <c r="BU24" s="746"/>
      <c r="BV24" s="746"/>
      <c r="BW24" s="746"/>
      <c r="BX24" s="746"/>
      <c r="BY24" s="746"/>
      <c r="BZ24" s="746"/>
      <c r="CA24" s="746"/>
      <c r="CB24" s="746"/>
      <c r="CC24" s="746"/>
      <c r="CD24" s="746"/>
      <c r="CE24" s="746"/>
      <c r="CF24" s="746"/>
      <c r="CG24" s="746"/>
      <c r="CH24" s="746"/>
      <c r="CI24" s="746"/>
      <c r="CJ24" s="746"/>
      <c r="CK24" s="746"/>
      <c r="CL24" s="746"/>
      <c r="CM24" s="746"/>
      <c r="CN24" s="746"/>
      <c r="CO24" s="746"/>
      <c r="CP24" s="746"/>
      <c r="CQ24" s="746"/>
      <c r="CR24" s="746"/>
      <c r="CS24" s="746"/>
      <c r="CT24" s="746"/>
      <c r="CU24" s="746"/>
      <c r="CV24" s="746"/>
      <c r="CW24" s="746"/>
      <c r="CX24" s="746"/>
      <c r="CY24" s="746"/>
      <c r="CZ24" s="746"/>
      <c r="DA24" s="746"/>
      <c r="DB24" s="746"/>
      <c r="DC24" s="746"/>
      <c r="DD24" s="746"/>
      <c r="DE24" s="746"/>
      <c r="DF24" s="746"/>
      <c r="DG24" s="746"/>
      <c r="DH24" s="746"/>
      <c r="DI24" s="746"/>
      <c r="DJ24" s="746"/>
      <c r="DK24" s="746"/>
      <c r="DL24" s="746"/>
      <c r="DM24" s="746"/>
      <c r="DN24" s="746"/>
      <c r="DO24" s="746"/>
      <c r="DP24" s="746"/>
      <c r="DQ24" s="746"/>
      <c r="DR24" s="746"/>
      <c r="DS24" s="746"/>
      <c r="DT24" s="746"/>
      <c r="DU24" s="746"/>
      <c r="DV24" s="746"/>
      <c r="DW24" s="746"/>
      <c r="DX24" s="746"/>
      <c r="DY24" s="746"/>
      <c r="DZ24" s="747"/>
    </row>
    <row r="25" spans="2:130" ht="20.100000000000001" customHeight="1">
      <c r="B25" s="538" t="s">
        <v>43</v>
      </c>
      <c r="C25" s="539"/>
      <c r="D25" s="539"/>
      <c r="E25" s="539"/>
      <c r="F25" s="540"/>
      <c r="G25" s="593" t="s">
        <v>45</v>
      </c>
      <c r="H25" s="512"/>
      <c r="I25" s="512"/>
      <c r="J25" s="512"/>
      <c r="K25" s="512"/>
      <c r="L25" s="512"/>
      <c r="M25" s="512"/>
      <c r="N25" s="512"/>
      <c r="O25" s="512"/>
      <c r="P25" s="512"/>
      <c r="Q25" s="512"/>
      <c r="R25" s="512"/>
      <c r="S25" s="512"/>
      <c r="T25" s="512"/>
      <c r="U25" s="512"/>
      <c r="V25" s="512"/>
      <c r="W25" s="489"/>
      <c r="X25" s="512" t="s">
        <v>41</v>
      </c>
      <c r="Y25" s="512"/>
      <c r="Z25" s="512"/>
      <c r="AA25" s="512"/>
      <c r="AB25" s="512"/>
      <c r="AC25" s="594" t="s">
        <v>46</v>
      </c>
      <c r="AD25" s="594"/>
      <c r="AE25" s="594"/>
      <c r="AF25" s="594"/>
      <c r="AG25" s="594"/>
      <c r="AH25" s="594"/>
      <c r="AI25" s="594"/>
      <c r="AJ25" s="594" t="s">
        <v>47</v>
      </c>
      <c r="AK25" s="594"/>
      <c r="AL25" s="594"/>
      <c r="AM25" s="594"/>
      <c r="AN25" s="594"/>
      <c r="AO25" s="594"/>
      <c r="AP25" s="594"/>
      <c r="AQ25" s="539" t="s">
        <v>42</v>
      </c>
      <c r="AR25" s="539"/>
      <c r="AS25" s="539"/>
      <c r="AT25" s="539"/>
      <c r="AU25" s="539"/>
      <c r="AV25" s="539"/>
      <c r="AW25" s="539"/>
      <c r="AX25" s="539"/>
      <c r="AY25" s="539"/>
      <c r="AZ25" s="539"/>
      <c r="BA25" s="539"/>
      <c r="BB25" s="539"/>
      <c r="BC25" s="539"/>
      <c r="BD25" s="539"/>
      <c r="BE25" s="539"/>
      <c r="BF25" s="539"/>
      <c r="BG25" s="539"/>
      <c r="BH25" s="539"/>
      <c r="BI25" s="539"/>
      <c r="BJ25" s="539"/>
      <c r="BK25" s="539"/>
      <c r="BL25" s="539"/>
      <c r="BM25" s="539"/>
      <c r="BN25" s="539"/>
      <c r="BO25" s="539"/>
      <c r="BP25" s="539"/>
      <c r="BQ25" s="539"/>
      <c r="BR25" s="539"/>
      <c r="BS25" s="539"/>
      <c r="BT25" s="539"/>
      <c r="BU25" s="539"/>
      <c r="BV25" s="539"/>
      <c r="BW25" s="539"/>
      <c r="BX25" s="539"/>
      <c r="BY25" s="539"/>
      <c r="BZ25" s="539"/>
      <c r="CA25" s="539"/>
      <c r="CB25" s="539"/>
      <c r="CC25" s="539"/>
      <c r="CD25" s="539"/>
      <c r="CE25" s="539"/>
      <c r="CF25" s="539"/>
      <c r="CG25" s="539"/>
      <c r="CH25" s="539"/>
      <c r="CI25" s="539"/>
      <c r="CJ25" s="539"/>
      <c r="CK25" s="539"/>
      <c r="CL25" s="539"/>
      <c r="CM25" s="539"/>
      <c r="CN25" s="539"/>
      <c r="CO25" s="539"/>
      <c r="CP25" s="539"/>
      <c r="CQ25" s="539"/>
      <c r="CR25" s="539"/>
      <c r="CS25" s="539"/>
      <c r="CT25" s="539"/>
      <c r="CU25" s="539"/>
      <c r="CV25" s="539"/>
      <c r="CW25" s="539"/>
      <c r="CX25" s="539"/>
      <c r="CY25" s="539"/>
      <c r="CZ25" s="539"/>
      <c r="DA25" s="539"/>
      <c r="DB25" s="539"/>
      <c r="DC25" s="539"/>
      <c r="DD25" s="539"/>
      <c r="DE25" s="539"/>
      <c r="DF25" s="539"/>
      <c r="DG25" s="539"/>
      <c r="DH25" s="539"/>
      <c r="DI25" s="539"/>
      <c r="DJ25" s="539"/>
      <c r="DK25" s="539"/>
      <c r="DL25" s="539"/>
      <c r="DM25" s="539"/>
      <c r="DN25" s="539"/>
      <c r="DO25" s="539"/>
      <c r="DP25" s="539"/>
      <c r="DQ25" s="539"/>
      <c r="DR25" s="539"/>
      <c r="DS25" s="539"/>
      <c r="DT25" s="539"/>
      <c r="DU25" s="539"/>
      <c r="DV25" s="539"/>
      <c r="DW25" s="539"/>
      <c r="DX25" s="539"/>
      <c r="DY25" s="539"/>
      <c r="DZ25" s="540"/>
    </row>
    <row r="26" spans="2:130" ht="20.100000000000001" customHeight="1">
      <c r="B26" s="590"/>
      <c r="C26" s="591"/>
      <c r="D26" s="591"/>
      <c r="E26" s="591"/>
      <c r="F26" s="592"/>
      <c r="G26" s="660" t="s">
        <v>119</v>
      </c>
      <c r="H26" s="661"/>
      <c r="I26" s="661"/>
      <c r="J26" s="661"/>
      <c r="K26" s="661"/>
      <c r="L26" s="661"/>
      <c r="M26" s="661"/>
      <c r="N26" s="661"/>
      <c r="O26" s="661"/>
      <c r="P26" s="661"/>
      <c r="Q26" s="661"/>
      <c r="R26" s="661"/>
      <c r="S26" s="661"/>
      <c r="T26" s="661"/>
      <c r="U26" s="661"/>
      <c r="V26" s="661"/>
      <c r="W26" s="661"/>
      <c r="X26" s="662" t="s">
        <v>108</v>
      </c>
      <c r="Y26" s="662"/>
      <c r="Z26" s="662"/>
      <c r="AA26" s="662"/>
      <c r="AB26" s="662"/>
      <c r="AC26" s="748">
        <v>5000</v>
      </c>
      <c r="AD26" s="748"/>
      <c r="AE26" s="748"/>
      <c r="AF26" s="748"/>
      <c r="AG26" s="748"/>
      <c r="AH26" s="748"/>
      <c r="AI26" s="748"/>
      <c r="AJ26" s="748">
        <v>200</v>
      </c>
      <c r="AK26" s="748"/>
      <c r="AL26" s="748"/>
      <c r="AM26" s="748"/>
      <c r="AN26" s="748"/>
      <c r="AO26" s="748"/>
      <c r="AP26" s="748"/>
      <c r="AQ26" s="743" t="s">
        <v>121</v>
      </c>
      <c r="AR26" s="743"/>
      <c r="AS26" s="743"/>
      <c r="AT26" s="743"/>
      <c r="AU26" s="743"/>
      <c r="AV26" s="743"/>
      <c r="AW26" s="743"/>
      <c r="AX26" s="743"/>
      <c r="AY26" s="743"/>
      <c r="AZ26" s="743"/>
      <c r="BA26" s="743"/>
      <c r="BB26" s="743"/>
      <c r="BC26" s="743"/>
      <c r="BD26" s="743"/>
      <c r="BE26" s="743"/>
      <c r="BF26" s="743"/>
      <c r="BG26" s="743"/>
      <c r="BH26" s="743"/>
      <c r="BI26" s="743"/>
      <c r="BJ26" s="743"/>
      <c r="BK26" s="743"/>
      <c r="BL26" s="743"/>
      <c r="BM26" s="743"/>
      <c r="BN26" s="743"/>
      <c r="BO26" s="743"/>
      <c r="BP26" s="743"/>
      <c r="BQ26" s="743"/>
      <c r="BR26" s="743"/>
      <c r="BS26" s="743"/>
      <c r="BT26" s="743"/>
      <c r="BU26" s="743"/>
      <c r="BV26" s="743"/>
      <c r="BW26" s="743"/>
      <c r="BX26" s="743"/>
      <c r="BY26" s="743"/>
      <c r="BZ26" s="743"/>
      <c r="CA26" s="743"/>
      <c r="CB26" s="743"/>
      <c r="CC26" s="743"/>
      <c r="CD26" s="743"/>
      <c r="CE26" s="743"/>
      <c r="CF26" s="743"/>
      <c r="CG26" s="743"/>
      <c r="CH26" s="743"/>
      <c r="CI26" s="743"/>
      <c r="CJ26" s="743"/>
      <c r="CK26" s="743"/>
      <c r="CL26" s="743"/>
      <c r="CM26" s="743"/>
      <c r="CN26" s="743"/>
      <c r="CO26" s="743"/>
      <c r="CP26" s="743"/>
      <c r="CQ26" s="743"/>
      <c r="CR26" s="743"/>
      <c r="CS26" s="743"/>
      <c r="CT26" s="743"/>
      <c r="CU26" s="743"/>
      <c r="CV26" s="743"/>
      <c r="CW26" s="743"/>
      <c r="CX26" s="743"/>
      <c r="CY26" s="743"/>
      <c r="CZ26" s="743"/>
      <c r="DA26" s="743"/>
      <c r="DB26" s="743"/>
      <c r="DC26" s="743"/>
      <c r="DD26" s="743"/>
      <c r="DE26" s="743"/>
      <c r="DF26" s="743"/>
      <c r="DG26" s="743"/>
      <c r="DH26" s="743"/>
      <c r="DI26" s="743"/>
      <c r="DJ26" s="743"/>
      <c r="DK26" s="743"/>
      <c r="DL26" s="743"/>
      <c r="DM26" s="743"/>
      <c r="DN26" s="743"/>
      <c r="DO26" s="743"/>
      <c r="DP26" s="743"/>
      <c r="DQ26" s="743"/>
      <c r="DR26" s="743"/>
      <c r="DS26" s="743"/>
      <c r="DT26" s="743"/>
      <c r="DU26" s="743"/>
      <c r="DV26" s="743"/>
      <c r="DW26" s="743"/>
      <c r="DX26" s="743"/>
      <c r="DY26" s="743"/>
      <c r="DZ26" s="744"/>
    </row>
    <row r="27" spans="2:130" ht="20.100000000000001" customHeight="1">
      <c r="B27" s="590"/>
      <c r="C27" s="591"/>
      <c r="D27" s="591"/>
      <c r="E27" s="591"/>
      <c r="F27" s="592"/>
      <c r="G27" s="660" t="s">
        <v>120</v>
      </c>
      <c r="H27" s="661"/>
      <c r="I27" s="661"/>
      <c r="J27" s="661"/>
      <c r="K27" s="661"/>
      <c r="L27" s="661"/>
      <c r="M27" s="661"/>
      <c r="N27" s="661"/>
      <c r="O27" s="661"/>
      <c r="P27" s="661"/>
      <c r="Q27" s="661"/>
      <c r="R27" s="661"/>
      <c r="S27" s="661"/>
      <c r="T27" s="661"/>
      <c r="U27" s="661"/>
      <c r="V27" s="661"/>
      <c r="W27" s="661"/>
      <c r="X27" s="662" t="s">
        <v>108</v>
      </c>
      <c r="Y27" s="662"/>
      <c r="Z27" s="662"/>
      <c r="AA27" s="662"/>
      <c r="AB27" s="662"/>
      <c r="AC27" s="748">
        <v>5000</v>
      </c>
      <c r="AD27" s="748"/>
      <c r="AE27" s="748"/>
      <c r="AF27" s="748"/>
      <c r="AG27" s="748"/>
      <c r="AH27" s="748"/>
      <c r="AI27" s="748"/>
      <c r="AJ27" s="748"/>
      <c r="AK27" s="748"/>
      <c r="AL27" s="748"/>
      <c r="AM27" s="748"/>
      <c r="AN27" s="748"/>
      <c r="AO27" s="748"/>
      <c r="AP27" s="748"/>
      <c r="AQ27" s="743" t="s">
        <v>121</v>
      </c>
      <c r="AR27" s="743"/>
      <c r="AS27" s="743"/>
      <c r="AT27" s="743"/>
      <c r="AU27" s="743"/>
      <c r="AV27" s="743"/>
      <c r="AW27" s="743"/>
      <c r="AX27" s="743"/>
      <c r="AY27" s="743"/>
      <c r="AZ27" s="743"/>
      <c r="BA27" s="743"/>
      <c r="BB27" s="743"/>
      <c r="BC27" s="743"/>
      <c r="BD27" s="743"/>
      <c r="BE27" s="743"/>
      <c r="BF27" s="743"/>
      <c r="BG27" s="743"/>
      <c r="BH27" s="743"/>
      <c r="BI27" s="743"/>
      <c r="BJ27" s="743"/>
      <c r="BK27" s="743"/>
      <c r="BL27" s="743"/>
      <c r="BM27" s="743"/>
      <c r="BN27" s="743"/>
      <c r="BO27" s="743"/>
      <c r="BP27" s="743"/>
      <c r="BQ27" s="743"/>
      <c r="BR27" s="743"/>
      <c r="BS27" s="743"/>
      <c r="BT27" s="743"/>
      <c r="BU27" s="743"/>
      <c r="BV27" s="743"/>
      <c r="BW27" s="743"/>
      <c r="BX27" s="743"/>
      <c r="BY27" s="743"/>
      <c r="BZ27" s="743"/>
      <c r="CA27" s="743"/>
      <c r="CB27" s="743"/>
      <c r="CC27" s="743"/>
      <c r="CD27" s="743"/>
      <c r="CE27" s="743"/>
      <c r="CF27" s="743"/>
      <c r="CG27" s="743"/>
      <c r="CH27" s="743"/>
      <c r="CI27" s="743"/>
      <c r="CJ27" s="743"/>
      <c r="CK27" s="743"/>
      <c r="CL27" s="743"/>
      <c r="CM27" s="743"/>
      <c r="CN27" s="743"/>
      <c r="CO27" s="743"/>
      <c r="CP27" s="743"/>
      <c r="CQ27" s="743"/>
      <c r="CR27" s="743"/>
      <c r="CS27" s="743"/>
      <c r="CT27" s="743"/>
      <c r="CU27" s="743"/>
      <c r="CV27" s="743"/>
      <c r="CW27" s="743"/>
      <c r="CX27" s="743"/>
      <c r="CY27" s="743"/>
      <c r="CZ27" s="743"/>
      <c r="DA27" s="743"/>
      <c r="DB27" s="743"/>
      <c r="DC27" s="743"/>
      <c r="DD27" s="743"/>
      <c r="DE27" s="743"/>
      <c r="DF27" s="743"/>
      <c r="DG27" s="743"/>
      <c r="DH27" s="743"/>
      <c r="DI27" s="743"/>
      <c r="DJ27" s="743"/>
      <c r="DK27" s="743"/>
      <c r="DL27" s="743"/>
      <c r="DM27" s="743"/>
      <c r="DN27" s="743"/>
      <c r="DO27" s="743"/>
      <c r="DP27" s="743"/>
      <c r="DQ27" s="743"/>
      <c r="DR27" s="743"/>
      <c r="DS27" s="743"/>
      <c r="DT27" s="743"/>
      <c r="DU27" s="743"/>
      <c r="DV27" s="743"/>
      <c r="DW27" s="743"/>
      <c r="DX27" s="743"/>
      <c r="DY27" s="743"/>
      <c r="DZ27" s="744"/>
    </row>
    <row r="28" spans="2:130" ht="20.100000000000001" customHeight="1">
      <c r="B28" s="590"/>
      <c r="C28" s="591"/>
      <c r="D28" s="591"/>
      <c r="E28" s="591"/>
      <c r="F28" s="592"/>
      <c r="G28" s="660"/>
      <c r="H28" s="661"/>
      <c r="I28" s="661"/>
      <c r="J28" s="661"/>
      <c r="K28" s="661"/>
      <c r="L28" s="661"/>
      <c r="M28" s="661"/>
      <c r="N28" s="661"/>
      <c r="O28" s="661"/>
      <c r="P28" s="661"/>
      <c r="Q28" s="661"/>
      <c r="R28" s="661"/>
      <c r="S28" s="661"/>
      <c r="T28" s="661"/>
      <c r="U28" s="661"/>
      <c r="V28" s="661"/>
      <c r="W28" s="661"/>
      <c r="X28" s="662"/>
      <c r="Y28" s="662"/>
      <c r="Z28" s="662"/>
      <c r="AA28" s="662"/>
      <c r="AB28" s="662"/>
      <c r="AC28" s="748"/>
      <c r="AD28" s="748"/>
      <c r="AE28" s="748"/>
      <c r="AF28" s="748"/>
      <c r="AG28" s="748"/>
      <c r="AH28" s="748"/>
      <c r="AI28" s="748"/>
      <c r="AJ28" s="748"/>
      <c r="AK28" s="748"/>
      <c r="AL28" s="748"/>
      <c r="AM28" s="748"/>
      <c r="AN28" s="748"/>
      <c r="AO28" s="748"/>
      <c r="AP28" s="748"/>
      <c r="AQ28" s="743"/>
      <c r="AR28" s="743"/>
      <c r="AS28" s="743"/>
      <c r="AT28" s="743"/>
      <c r="AU28" s="743"/>
      <c r="AV28" s="743"/>
      <c r="AW28" s="743"/>
      <c r="AX28" s="743"/>
      <c r="AY28" s="743"/>
      <c r="AZ28" s="743"/>
      <c r="BA28" s="743"/>
      <c r="BB28" s="743"/>
      <c r="BC28" s="743"/>
      <c r="BD28" s="743"/>
      <c r="BE28" s="743"/>
      <c r="BF28" s="743"/>
      <c r="BG28" s="743"/>
      <c r="BH28" s="743"/>
      <c r="BI28" s="743"/>
      <c r="BJ28" s="743"/>
      <c r="BK28" s="743"/>
      <c r="BL28" s="743"/>
      <c r="BM28" s="743"/>
      <c r="BN28" s="743"/>
      <c r="BO28" s="743"/>
      <c r="BP28" s="743"/>
      <c r="BQ28" s="743"/>
      <c r="BR28" s="743"/>
      <c r="BS28" s="743"/>
      <c r="BT28" s="743"/>
      <c r="BU28" s="743"/>
      <c r="BV28" s="743"/>
      <c r="BW28" s="743"/>
      <c r="BX28" s="743"/>
      <c r="BY28" s="743"/>
      <c r="BZ28" s="743"/>
      <c r="CA28" s="743"/>
      <c r="CB28" s="743"/>
      <c r="CC28" s="743"/>
      <c r="CD28" s="743"/>
      <c r="CE28" s="743"/>
      <c r="CF28" s="743"/>
      <c r="CG28" s="743"/>
      <c r="CH28" s="743"/>
      <c r="CI28" s="743"/>
      <c r="CJ28" s="743"/>
      <c r="CK28" s="743"/>
      <c r="CL28" s="743"/>
      <c r="CM28" s="743"/>
      <c r="CN28" s="743"/>
      <c r="CO28" s="743"/>
      <c r="CP28" s="743"/>
      <c r="CQ28" s="743"/>
      <c r="CR28" s="743"/>
      <c r="CS28" s="743"/>
      <c r="CT28" s="743"/>
      <c r="CU28" s="743"/>
      <c r="CV28" s="743"/>
      <c r="CW28" s="743"/>
      <c r="CX28" s="743"/>
      <c r="CY28" s="743"/>
      <c r="CZ28" s="743"/>
      <c r="DA28" s="743"/>
      <c r="DB28" s="743"/>
      <c r="DC28" s="743"/>
      <c r="DD28" s="743"/>
      <c r="DE28" s="743"/>
      <c r="DF28" s="743"/>
      <c r="DG28" s="743"/>
      <c r="DH28" s="743"/>
      <c r="DI28" s="743"/>
      <c r="DJ28" s="743"/>
      <c r="DK28" s="743"/>
      <c r="DL28" s="743"/>
      <c r="DM28" s="743"/>
      <c r="DN28" s="743"/>
      <c r="DO28" s="743"/>
      <c r="DP28" s="743"/>
      <c r="DQ28" s="743"/>
      <c r="DR28" s="743"/>
      <c r="DS28" s="743"/>
      <c r="DT28" s="743"/>
      <c r="DU28" s="743"/>
      <c r="DV28" s="743"/>
      <c r="DW28" s="743"/>
      <c r="DX28" s="743"/>
      <c r="DY28" s="743"/>
      <c r="DZ28" s="744"/>
    </row>
    <row r="29" spans="2:130" ht="20.100000000000001" customHeight="1">
      <c r="B29" s="590"/>
      <c r="C29" s="591"/>
      <c r="D29" s="591"/>
      <c r="E29" s="591"/>
      <c r="F29" s="592"/>
      <c r="G29" s="660"/>
      <c r="H29" s="661"/>
      <c r="I29" s="661"/>
      <c r="J29" s="661"/>
      <c r="K29" s="661"/>
      <c r="L29" s="661"/>
      <c r="M29" s="661"/>
      <c r="N29" s="661"/>
      <c r="O29" s="661"/>
      <c r="P29" s="661"/>
      <c r="Q29" s="661"/>
      <c r="R29" s="661"/>
      <c r="S29" s="661"/>
      <c r="T29" s="661"/>
      <c r="U29" s="661"/>
      <c r="V29" s="661"/>
      <c r="W29" s="661"/>
      <c r="X29" s="662"/>
      <c r="Y29" s="662"/>
      <c r="Z29" s="662"/>
      <c r="AA29" s="662"/>
      <c r="AB29" s="662"/>
      <c r="AC29" s="748"/>
      <c r="AD29" s="748"/>
      <c r="AE29" s="748"/>
      <c r="AF29" s="748"/>
      <c r="AG29" s="748"/>
      <c r="AH29" s="748"/>
      <c r="AI29" s="748"/>
      <c r="AJ29" s="748"/>
      <c r="AK29" s="748"/>
      <c r="AL29" s="748"/>
      <c r="AM29" s="748"/>
      <c r="AN29" s="748"/>
      <c r="AO29" s="748"/>
      <c r="AP29" s="748"/>
      <c r="AQ29" s="743"/>
      <c r="AR29" s="743"/>
      <c r="AS29" s="743"/>
      <c r="AT29" s="743"/>
      <c r="AU29" s="743"/>
      <c r="AV29" s="743"/>
      <c r="AW29" s="743"/>
      <c r="AX29" s="743"/>
      <c r="AY29" s="743"/>
      <c r="AZ29" s="743"/>
      <c r="BA29" s="743"/>
      <c r="BB29" s="743"/>
      <c r="BC29" s="743"/>
      <c r="BD29" s="743"/>
      <c r="BE29" s="743"/>
      <c r="BF29" s="743"/>
      <c r="BG29" s="743"/>
      <c r="BH29" s="743"/>
      <c r="BI29" s="743"/>
      <c r="BJ29" s="743"/>
      <c r="BK29" s="743"/>
      <c r="BL29" s="743"/>
      <c r="BM29" s="743"/>
      <c r="BN29" s="743"/>
      <c r="BO29" s="743"/>
      <c r="BP29" s="743"/>
      <c r="BQ29" s="743"/>
      <c r="BR29" s="743"/>
      <c r="BS29" s="743"/>
      <c r="BT29" s="743"/>
      <c r="BU29" s="743"/>
      <c r="BV29" s="743"/>
      <c r="BW29" s="743"/>
      <c r="BX29" s="743"/>
      <c r="BY29" s="743"/>
      <c r="BZ29" s="743"/>
      <c r="CA29" s="743"/>
      <c r="CB29" s="743"/>
      <c r="CC29" s="743"/>
      <c r="CD29" s="743"/>
      <c r="CE29" s="743"/>
      <c r="CF29" s="743"/>
      <c r="CG29" s="743"/>
      <c r="CH29" s="743"/>
      <c r="CI29" s="743"/>
      <c r="CJ29" s="743"/>
      <c r="CK29" s="743"/>
      <c r="CL29" s="743"/>
      <c r="CM29" s="743"/>
      <c r="CN29" s="743"/>
      <c r="CO29" s="743"/>
      <c r="CP29" s="743"/>
      <c r="CQ29" s="743"/>
      <c r="CR29" s="743"/>
      <c r="CS29" s="743"/>
      <c r="CT29" s="743"/>
      <c r="CU29" s="743"/>
      <c r="CV29" s="743"/>
      <c r="CW29" s="743"/>
      <c r="CX29" s="743"/>
      <c r="CY29" s="743"/>
      <c r="CZ29" s="743"/>
      <c r="DA29" s="743"/>
      <c r="DB29" s="743"/>
      <c r="DC29" s="743"/>
      <c r="DD29" s="743"/>
      <c r="DE29" s="743"/>
      <c r="DF29" s="743"/>
      <c r="DG29" s="743"/>
      <c r="DH29" s="743"/>
      <c r="DI29" s="743"/>
      <c r="DJ29" s="743"/>
      <c r="DK29" s="743"/>
      <c r="DL29" s="743"/>
      <c r="DM29" s="743"/>
      <c r="DN29" s="743"/>
      <c r="DO29" s="743"/>
      <c r="DP29" s="743"/>
      <c r="DQ29" s="743"/>
      <c r="DR29" s="743"/>
      <c r="DS29" s="743"/>
      <c r="DT29" s="743"/>
      <c r="DU29" s="743"/>
      <c r="DV29" s="743"/>
      <c r="DW29" s="743"/>
      <c r="DX29" s="743"/>
      <c r="DY29" s="743"/>
      <c r="DZ29" s="744"/>
    </row>
    <row r="30" spans="2:130" ht="20.100000000000001" customHeight="1">
      <c r="B30" s="590"/>
      <c r="C30" s="591"/>
      <c r="D30" s="591"/>
      <c r="E30" s="591"/>
      <c r="F30" s="592"/>
      <c r="G30" s="660"/>
      <c r="H30" s="661"/>
      <c r="I30" s="661"/>
      <c r="J30" s="661"/>
      <c r="K30" s="661"/>
      <c r="L30" s="661"/>
      <c r="M30" s="661"/>
      <c r="N30" s="661"/>
      <c r="O30" s="661"/>
      <c r="P30" s="661"/>
      <c r="Q30" s="661"/>
      <c r="R30" s="661"/>
      <c r="S30" s="661"/>
      <c r="T30" s="661"/>
      <c r="U30" s="661"/>
      <c r="V30" s="661"/>
      <c r="W30" s="661"/>
      <c r="X30" s="662"/>
      <c r="Y30" s="662"/>
      <c r="Z30" s="662"/>
      <c r="AA30" s="662"/>
      <c r="AB30" s="662"/>
      <c r="AC30" s="748"/>
      <c r="AD30" s="748"/>
      <c r="AE30" s="748"/>
      <c r="AF30" s="748"/>
      <c r="AG30" s="748"/>
      <c r="AH30" s="748"/>
      <c r="AI30" s="748"/>
      <c r="AJ30" s="748"/>
      <c r="AK30" s="748"/>
      <c r="AL30" s="748"/>
      <c r="AM30" s="748"/>
      <c r="AN30" s="748"/>
      <c r="AO30" s="748"/>
      <c r="AP30" s="748"/>
      <c r="AQ30" s="743"/>
      <c r="AR30" s="743"/>
      <c r="AS30" s="743"/>
      <c r="AT30" s="743"/>
      <c r="AU30" s="743"/>
      <c r="AV30" s="743"/>
      <c r="AW30" s="743"/>
      <c r="AX30" s="743"/>
      <c r="AY30" s="743"/>
      <c r="AZ30" s="743"/>
      <c r="BA30" s="743"/>
      <c r="BB30" s="743"/>
      <c r="BC30" s="743"/>
      <c r="BD30" s="743"/>
      <c r="BE30" s="743"/>
      <c r="BF30" s="743"/>
      <c r="BG30" s="743"/>
      <c r="BH30" s="743"/>
      <c r="BI30" s="743"/>
      <c r="BJ30" s="743"/>
      <c r="BK30" s="743"/>
      <c r="BL30" s="743"/>
      <c r="BM30" s="743"/>
      <c r="BN30" s="743"/>
      <c r="BO30" s="743"/>
      <c r="BP30" s="743"/>
      <c r="BQ30" s="743"/>
      <c r="BR30" s="743"/>
      <c r="BS30" s="743"/>
      <c r="BT30" s="743"/>
      <c r="BU30" s="743"/>
      <c r="BV30" s="743"/>
      <c r="BW30" s="743"/>
      <c r="BX30" s="743"/>
      <c r="BY30" s="743"/>
      <c r="BZ30" s="743"/>
      <c r="CA30" s="743"/>
      <c r="CB30" s="743"/>
      <c r="CC30" s="743"/>
      <c r="CD30" s="743"/>
      <c r="CE30" s="743"/>
      <c r="CF30" s="743"/>
      <c r="CG30" s="743"/>
      <c r="CH30" s="743"/>
      <c r="CI30" s="743"/>
      <c r="CJ30" s="743"/>
      <c r="CK30" s="743"/>
      <c r="CL30" s="743"/>
      <c r="CM30" s="743"/>
      <c r="CN30" s="743"/>
      <c r="CO30" s="743"/>
      <c r="CP30" s="743"/>
      <c r="CQ30" s="743"/>
      <c r="CR30" s="743"/>
      <c r="CS30" s="743"/>
      <c r="CT30" s="743"/>
      <c r="CU30" s="743"/>
      <c r="CV30" s="743"/>
      <c r="CW30" s="743"/>
      <c r="CX30" s="743"/>
      <c r="CY30" s="743"/>
      <c r="CZ30" s="743"/>
      <c r="DA30" s="743"/>
      <c r="DB30" s="743"/>
      <c r="DC30" s="743"/>
      <c r="DD30" s="743"/>
      <c r="DE30" s="743"/>
      <c r="DF30" s="743"/>
      <c r="DG30" s="743"/>
      <c r="DH30" s="743"/>
      <c r="DI30" s="743"/>
      <c r="DJ30" s="743"/>
      <c r="DK30" s="743"/>
      <c r="DL30" s="743"/>
      <c r="DM30" s="743"/>
      <c r="DN30" s="743"/>
      <c r="DO30" s="743"/>
      <c r="DP30" s="743"/>
      <c r="DQ30" s="743"/>
      <c r="DR30" s="743"/>
      <c r="DS30" s="743"/>
      <c r="DT30" s="743"/>
      <c r="DU30" s="743"/>
      <c r="DV30" s="743"/>
      <c r="DW30" s="743"/>
      <c r="DX30" s="743"/>
      <c r="DY30" s="743"/>
      <c r="DZ30" s="744"/>
    </row>
    <row r="31" spans="2:130" ht="20.100000000000001" customHeight="1">
      <c r="B31" s="590"/>
      <c r="C31" s="591"/>
      <c r="D31" s="591"/>
      <c r="E31" s="591"/>
      <c r="F31" s="592"/>
      <c r="G31" s="660"/>
      <c r="H31" s="661"/>
      <c r="I31" s="661"/>
      <c r="J31" s="661"/>
      <c r="K31" s="661"/>
      <c r="L31" s="661"/>
      <c r="M31" s="661"/>
      <c r="N31" s="661"/>
      <c r="O31" s="661"/>
      <c r="P31" s="661"/>
      <c r="Q31" s="661"/>
      <c r="R31" s="661"/>
      <c r="S31" s="661"/>
      <c r="T31" s="661"/>
      <c r="U31" s="661"/>
      <c r="V31" s="661"/>
      <c r="W31" s="661"/>
      <c r="X31" s="662"/>
      <c r="Y31" s="662"/>
      <c r="Z31" s="662"/>
      <c r="AA31" s="662"/>
      <c r="AB31" s="662"/>
      <c r="AC31" s="748"/>
      <c r="AD31" s="748"/>
      <c r="AE31" s="748"/>
      <c r="AF31" s="748"/>
      <c r="AG31" s="748"/>
      <c r="AH31" s="748"/>
      <c r="AI31" s="748"/>
      <c r="AJ31" s="748"/>
      <c r="AK31" s="748"/>
      <c r="AL31" s="748"/>
      <c r="AM31" s="748"/>
      <c r="AN31" s="748"/>
      <c r="AO31" s="748"/>
      <c r="AP31" s="748"/>
      <c r="AQ31" s="743"/>
      <c r="AR31" s="743"/>
      <c r="AS31" s="743"/>
      <c r="AT31" s="743"/>
      <c r="AU31" s="743"/>
      <c r="AV31" s="743"/>
      <c r="AW31" s="743"/>
      <c r="AX31" s="743"/>
      <c r="AY31" s="743"/>
      <c r="AZ31" s="743"/>
      <c r="BA31" s="743"/>
      <c r="BB31" s="743"/>
      <c r="BC31" s="743"/>
      <c r="BD31" s="743"/>
      <c r="BE31" s="743"/>
      <c r="BF31" s="743"/>
      <c r="BG31" s="743"/>
      <c r="BH31" s="743"/>
      <c r="BI31" s="743"/>
      <c r="BJ31" s="743"/>
      <c r="BK31" s="743"/>
      <c r="BL31" s="743"/>
      <c r="BM31" s="743"/>
      <c r="BN31" s="743"/>
      <c r="BO31" s="743"/>
      <c r="BP31" s="743"/>
      <c r="BQ31" s="743"/>
      <c r="BR31" s="743"/>
      <c r="BS31" s="743"/>
      <c r="BT31" s="743"/>
      <c r="BU31" s="743"/>
      <c r="BV31" s="743"/>
      <c r="BW31" s="743"/>
      <c r="BX31" s="743"/>
      <c r="BY31" s="743"/>
      <c r="BZ31" s="743"/>
      <c r="CA31" s="743"/>
      <c r="CB31" s="743"/>
      <c r="CC31" s="743"/>
      <c r="CD31" s="743"/>
      <c r="CE31" s="743"/>
      <c r="CF31" s="743"/>
      <c r="CG31" s="743"/>
      <c r="CH31" s="743"/>
      <c r="CI31" s="743"/>
      <c r="CJ31" s="743"/>
      <c r="CK31" s="743"/>
      <c r="CL31" s="743"/>
      <c r="CM31" s="743"/>
      <c r="CN31" s="743"/>
      <c r="CO31" s="743"/>
      <c r="CP31" s="743"/>
      <c r="CQ31" s="743"/>
      <c r="CR31" s="743"/>
      <c r="CS31" s="743"/>
      <c r="CT31" s="743"/>
      <c r="CU31" s="743"/>
      <c r="CV31" s="743"/>
      <c r="CW31" s="743"/>
      <c r="CX31" s="743"/>
      <c r="CY31" s="743"/>
      <c r="CZ31" s="743"/>
      <c r="DA31" s="743"/>
      <c r="DB31" s="743"/>
      <c r="DC31" s="743"/>
      <c r="DD31" s="743"/>
      <c r="DE31" s="743"/>
      <c r="DF31" s="743"/>
      <c r="DG31" s="743"/>
      <c r="DH31" s="743"/>
      <c r="DI31" s="743"/>
      <c r="DJ31" s="743"/>
      <c r="DK31" s="743"/>
      <c r="DL31" s="743"/>
      <c r="DM31" s="743"/>
      <c r="DN31" s="743"/>
      <c r="DO31" s="743"/>
      <c r="DP31" s="743"/>
      <c r="DQ31" s="743"/>
      <c r="DR31" s="743"/>
      <c r="DS31" s="743"/>
      <c r="DT31" s="743"/>
      <c r="DU31" s="743"/>
      <c r="DV31" s="743"/>
      <c r="DW31" s="743"/>
      <c r="DX31" s="743"/>
      <c r="DY31" s="743"/>
      <c r="DZ31" s="744"/>
    </row>
    <row r="32" spans="2:130" ht="20.100000000000001" customHeight="1" thickBot="1">
      <c r="B32" s="541"/>
      <c r="C32" s="481"/>
      <c r="D32" s="481"/>
      <c r="E32" s="481"/>
      <c r="F32" s="542"/>
      <c r="G32" s="729"/>
      <c r="H32" s="676"/>
      <c r="I32" s="676"/>
      <c r="J32" s="676"/>
      <c r="K32" s="676"/>
      <c r="L32" s="676"/>
      <c r="M32" s="676"/>
      <c r="N32" s="676"/>
      <c r="O32" s="676"/>
      <c r="P32" s="676"/>
      <c r="Q32" s="676"/>
      <c r="R32" s="676"/>
      <c r="S32" s="676"/>
      <c r="T32" s="676"/>
      <c r="U32" s="676"/>
      <c r="V32" s="676"/>
      <c r="W32" s="676"/>
      <c r="X32" s="724"/>
      <c r="Y32" s="724"/>
      <c r="Z32" s="724"/>
      <c r="AA32" s="724"/>
      <c r="AB32" s="724"/>
      <c r="AC32" s="749"/>
      <c r="AD32" s="749"/>
      <c r="AE32" s="749"/>
      <c r="AF32" s="749"/>
      <c r="AG32" s="749"/>
      <c r="AH32" s="749"/>
      <c r="AI32" s="749"/>
      <c r="AJ32" s="749"/>
      <c r="AK32" s="749"/>
      <c r="AL32" s="749"/>
      <c r="AM32" s="749"/>
      <c r="AN32" s="749"/>
      <c r="AO32" s="749"/>
      <c r="AP32" s="749"/>
      <c r="AQ32" s="679"/>
      <c r="AR32" s="679"/>
      <c r="AS32" s="679"/>
      <c r="AT32" s="679"/>
      <c r="AU32" s="679"/>
      <c r="AV32" s="679"/>
      <c r="AW32" s="679"/>
      <c r="AX32" s="679"/>
      <c r="AY32" s="679"/>
      <c r="AZ32" s="679"/>
      <c r="BA32" s="679"/>
      <c r="BB32" s="679"/>
      <c r="BC32" s="679"/>
      <c r="BD32" s="679"/>
      <c r="BE32" s="679"/>
      <c r="BF32" s="679"/>
      <c r="BG32" s="679"/>
      <c r="BH32" s="679"/>
      <c r="BI32" s="679"/>
      <c r="BJ32" s="679"/>
      <c r="BK32" s="679"/>
      <c r="BL32" s="679"/>
      <c r="BM32" s="679"/>
      <c r="BN32" s="679"/>
      <c r="BO32" s="679"/>
      <c r="BP32" s="679"/>
      <c r="BQ32" s="679"/>
      <c r="BR32" s="679"/>
      <c r="BS32" s="679"/>
      <c r="BT32" s="679"/>
      <c r="BU32" s="679"/>
      <c r="BV32" s="679"/>
      <c r="BW32" s="679"/>
      <c r="BX32" s="679"/>
      <c r="BY32" s="679"/>
      <c r="BZ32" s="679"/>
      <c r="CA32" s="679"/>
      <c r="CB32" s="679"/>
      <c r="CC32" s="679"/>
      <c r="CD32" s="679"/>
      <c r="CE32" s="679"/>
      <c r="CF32" s="679"/>
      <c r="CG32" s="679"/>
      <c r="CH32" s="679"/>
      <c r="CI32" s="679"/>
      <c r="CJ32" s="679"/>
      <c r="CK32" s="679"/>
      <c r="CL32" s="679"/>
      <c r="CM32" s="679"/>
      <c r="CN32" s="679"/>
      <c r="CO32" s="679"/>
      <c r="CP32" s="679"/>
      <c r="CQ32" s="679"/>
      <c r="CR32" s="679"/>
      <c r="CS32" s="679"/>
      <c r="CT32" s="679"/>
      <c r="CU32" s="679"/>
      <c r="CV32" s="679"/>
      <c r="CW32" s="679"/>
      <c r="CX32" s="679"/>
      <c r="CY32" s="679"/>
      <c r="CZ32" s="679"/>
      <c r="DA32" s="679"/>
      <c r="DB32" s="679"/>
      <c r="DC32" s="679"/>
      <c r="DD32" s="679"/>
      <c r="DE32" s="679"/>
      <c r="DF32" s="679"/>
      <c r="DG32" s="679"/>
      <c r="DH32" s="679"/>
      <c r="DI32" s="679"/>
      <c r="DJ32" s="679"/>
      <c r="DK32" s="679"/>
      <c r="DL32" s="679"/>
      <c r="DM32" s="679"/>
      <c r="DN32" s="679"/>
      <c r="DO32" s="679"/>
      <c r="DP32" s="679"/>
      <c r="DQ32" s="679"/>
      <c r="DR32" s="679"/>
      <c r="DS32" s="679"/>
      <c r="DT32" s="679"/>
      <c r="DU32" s="679"/>
      <c r="DV32" s="679"/>
      <c r="DW32" s="679"/>
      <c r="DX32" s="679"/>
      <c r="DY32" s="679"/>
      <c r="DZ32" s="770"/>
    </row>
    <row r="33" spans="2:130" ht="20.100000000000001" customHeight="1">
      <c r="B33" s="538" t="s">
        <v>10</v>
      </c>
      <c r="C33" s="539"/>
      <c r="D33" s="539"/>
      <c r="E33" s="539"/>
      <c r="F33" s="540"/>
      <c r="G33" s="710" t="s">
        <v>122</v>
      </c>
      <c r="H33" s="711"/>
      <c r="I33" s="711"/>
      <c r="J33" s="711"/>
      <c r="K33" s="711"/>
      <c r="L33" s="712"/>
      <c r="M33" s="716"/>
      <c r="N33" s="717"/>
      <c r="O33" s="717"/>
      <c r="P33" s="717"/>
      <c r="Q33" s="717"/>
      <c r="R33" s="717"/>
      <c r="S33" s="717"/>
      <c r="T33" s="717"/>
      <c r="U33" s="717"/>
      <c r="V33" s="717"/>
      <c r="W33" s="717"/>
      <c r="X33" s="717"/>
      <c r="Y33" s="717"/>
      <c r="Z33" s="717"/>
      <c r="AA33" s="717"/>
      <c r="AB33" s="717"/>
      <c r="AC33" s="717"/>
      <c r="AD33" s="717"/>
      <c r="AE33" s="717"/>
      <c r="AF33" s="717"/>
      <c r="AG33" s="717"/>
      <c r="AH33" s="717"/>
      <c r="AI33" s="717"/>
      <c r="AJ33" s="717"/>
      <c r="AK33" s="717"/>
      <c r="AL33" s="717"/>
      <c r="AM33" s="717"/>
      <c r="AN33" s="717"/>
      <c r="AO33" s="717"/>
      <c r="AP33" s="717"/>
      <c r="AQ33" s="717"/>
      <c r="AR33" s="717"/>
      <c r="AS33" s="717"/>
      <c r="AT33" s="717"/>
      <c r="AU33" s="717"/>
      <c r="AV33" s="717"/>
      <c r="AW33" s="717"/>
      <c r="AX33" s="717"/>
      <c r="AY33" s="717"/>
      <c r="AZ33" s="717"/>
      <c r="BA33" s="717"/>
      <c r="BB33" s="717"/>
      <c r="BC33" s="717"/>
      <c r="BD33" s="717"/>
      <c r="BE33" s="717"/>
      <c r="BF33" s="717"/>
      <c r="BG33" s="717"/>
      <c r="BH33" s="717"/>
      <c r="BI33" s="717"/>
      <c r="BJ33" s="717"/>
      <c r="BK33" s="717"/>
      <c r="BL33" s="717"/>
      <c r="BM33" s="717"/>
      <c r="BN33" s="717"/>
      <c r="BO33" s="717"/>
      <c r="BP33" s="717"/>
      <c r="BQ33" s="717"/>
      <c r="BR33" s="717"/>
      <c r="BS33" s="717"/>
      <c r="BT33" s="717"/>
      <c r="BU33" s="717"/>
      <c r="BV33" s="717"/>
      <c r="BW33" s="717"/>
      <c r="BX33" s="717"/>
      <c r="BY33" s="717"/>
      <c r="BZ33" s="717"/>
      <c r="CA33" s="717"/>
      <c r="CB33" s="717"/>
      <c r="CC33" s="717"/>
      <c r="CD33" s="717"/>
      <c r="CE33" s="717"/>
      <c r="CF33" s="717"/>
      <c r="CG33" s="717"/>
      <c r="CH33" s="717"/>
      <c r="CI33" s="717"/>
      <c r="CJ33" s="717"/>
      <c r="CK33" s="717"/>
      <c r="CL33" s="717"/>
      <c r="CM33" s="717"/>
      <c r="CN33" s="717"/>
      <c r="CO33" s="717"/>
      <c r="CP33" s="717"/>
      <c r="CQ33" s="717"/>
      <c r="CR33" s="717"/>
      <c r="CS33" s="717"/>
      <c r="CT33" s="717"/>
      <c r="CU33" s="717"/>
      <c r="CV33" s="717"/>
      <c r="CW33" s="717"/>
      <c r="CX33" s="717"/>
      <c r="CY33" s="717"/>
      <c r="CZ33" s="717"/>
      <c r="DA33" s="717"/>
      <c r="DB33" s="717"/>
      <c r="DC33" s="717"/>
      <c r="DD33" s="717"/>
      <c r="DE33" s="717"/>
      <c r="DF33" s="717"/>
      <c r="DG33" s="717"/>
      <c r="DH33" s="717"/>
      <c r="DI33" s="717"/>
      <c r="DJ33" s="717"/>
      <c r="DK33" s="717"/>
      <c r="DL33" s="717"/>
      <c r="DM33" s="717"/>
      <c r="DN33" s="717"/>
      <c r="DO33" s="717"/>
      <c r="DP33" s="717"/>
      <c r="DQ33" s="717"/>
      <c r="DR33" s="717"/>
      <c r="DS33" s="717"/>
      <c r="DT33" s="717"/>
      <c r="DU33" s="717"/>
      <c r="DV33" s="717"/>
      <c r="DW33" s="717"/>
      <c r="DX33" s="717"/>
      <c r="DY33" s="717"/>
      <c r="DZ33" s="718"/>
    </row>
    <row r="34" spans="2:130" ht="20.100000000000001" customHeight="1" thickBot="1">
      <c r="B34" s="541"/>
      <c r="C34" s="481"/>
      <c r="D34" s="481"/>
      <c r="E34" s="481"/>
      <c r="F34" s="542"/>
      <c r="G34" s="713"/>
      <c r="H34" s="714"/>
      <c r="I34" s="714"/>
      <c r="J34" s="714"/>
      <c r="K34" s="714"/>
      <c r="L34" s="715"/>
      <c r="M34" s="719"/>
      <c r="N34" s="719"/>
      <c r="O34" s="719"/>
      <c r="P34" s="719"/>
      <c r="Q34" s="719"/>
      <c r="R34" s="719"/>
      <c r="S34" s="719"/>
      <c r="T34" s="719"/>
      <c r="U34" s="719"/>
      <c r="V34" s="719"/>
      <c r="W34" s="719"/>
      <c r="X34" s="719"/>
      <c r="Y34" s="719"/>
      <c r="Z34" s="719"/>
      <c r="AA34" s="719"/>
      <c r="AB34" s="719"/>
      <c r="AC34" s="719"/>
      <c r="AD34" s="719"/>
      <c r="AE34" s="719"/>
      <c r="AF34" s="719"/>
      <c r="AG34" s="719"/>
      <c r="AH34" s="719"/>
      <c r="AI34" s="719"/>
      <c r="AJ34" s="719"/>
      <c r="AK34" s="719"/>
      <c r="AL34" s="719"/>
      <c r="AM34" s="719"/>
      <c r="AN34" s="719"/>
      <c r="AO34" s="719"/>
      <c r="AP34" s="719"/>
      <c r="AQ34" s="719"/>
      <c r="AR34" s="719"/>
      <c r="AS34" s="719"/>
      <c r="AT34" s="719"/>
      <c r="AU34" s="719"/>
      <c r="AV34" s="719"/>
      <c r="AW34" s="719"/>
      <c r="AX34" s="719"/>
      <c r="AY34" s="719"/>
      <c r="AZ34" s="719"/>
      <c r="BA34" s="719"/>
      <c r="BB34" s="719"/>
      <c r="BC34" s="719"/>
      <c r="BD34" s="719"/>
      <c r="BE34" s="719"/>
      <c r="BF34" s="719"/>
      <c r="BG34" s="719"/>
      <c r="BH34" s="719"/>
      <c r="BI34" s="719"/>
      <c r="BJ34" s="719"/>
      <c r="BK34" s="719"/>
      <c r="BL34" s="719"/>
      <c r="BM34" s="719"/>
      <c r="BN34" s="719"/>
      <c r="BO34" s="719"/>
      <c r="BP34" s="719"/>
      <c r="BQ34" s="719"/>
      <c r="BR34" s="719"/>
      <c r="BS34" s="719"/>
      <c r="BT34" s="719"/>
      <c r="BU34" s="719"/>
      <c r="BV34" s="719"/>
      <c r="BW34" s="719"/>
      <c r="BX34" s="719"/>
      <c r="BY34" s="719"/>
      <c r="BZ34" s="719"/>
      <c r="CA34" s="719"/>
      <c r="CB34" s="719"/>
      <c r="CC34" s="719"/>
      <c r="CD34" s="719"/>
      <c r="CE34" s="719"/>
      <c r="CF34" s="719"/>
      <c r="CG34" s="719"/>
      <c r="CH34" s="719"/>
      <c r="CI34" s="719"/>
      <c r="CJ34" s="719"/>
      <c r="CK34" s="719"/>
      <c r="CL34" s="719"/>
      <c r="CM34" s="719"/>
      <c r="CN34" s="719"/>
      <c r="CO34" s="719"/>
      <c r="CP34" s="719"/>
      <c r="CQ34" s="719"/>
      <c r="CR34" s="719"/>
      <c r="CS34" s="719"/>
      <c r="CT34" s="719"/>
      <c r="CU34" s="719"/>
      <c r="CV34" s="719"/>
      <c r="CW34" s="719"/>
      <c r="CX34" s="719"/>
      <c r="CY34" s="719"/>
      <c r="CZ34" s="719"/>
      <c r="DA34" s="719"/>
      <c r="DB34" s="719"/>
      <c r="DC34" s="719"/>
      <c r="DD34" s="719"/>
      <c r="DE34" s="719"/>
      <c r="DF34" s="719"/>
      <c r="DG34" s="719"/>
      <c r="DH34" s="719"/>
      <c r="DI34" s="719"/>
      <c r="DJ34" s="719"/>
      <c r="DK34" s="719"/>
      <c r="DL34" s="719"/>
      <c r="DM34" s="719"/>
      <c r="DN34" s="719"/>
      <c r="DO34" s="719"/>
      <c r="DP34" s="719"/>
      <c r="DQ34" s="719"/>
      <c r="DR34" s="719"/>
      <c r="DS34" s="719"/>
      <c r="DT34" s="719"/>
      <c r="DU34" s="719"/>
      <c r="DV34" s="719"/>
      <c r="DW34" s="719"/>
      <c r="DX34" s="719"/>
      <c r="DY34" s="719"/>
      <c r="DZ34" s="720"/>
    </row>
    <row r="35" spans="2:130" ht="20.100000000000001" customHeight="1">
      <c r="B35" s="556" t="s">
        <v>67</v>
      </c>
      <c r="C35" s="557"/>
      <c r="D35" s="557"/>
      <c r="E35" s="557"/>
      <c r="F35" s="557"/>
      <c r="G35" s="686"/>
      <c r="H35" s="687"/>
      <c r="I35" s="687"/>
      <c r="J35" s="687"/>
      <c r="K35" s="687"/>
      <c r="L35" s="688"/>
      <c r="M35" s="702"/>
      <c r="N35" s="702"/>
      <c r="O35" s="702"/>
      <c r="P35" s="702"/>
      <c r="Q35" s="703" t="s">
        <v>60</v>
      </c>
      <c r="R35" s="704"/>
      <c r="S35" s="683"/>
      <c r="T35" s="683"/>
      <c r="U35" s="683"/>
      <c r="V35" s="683"/>
      <c r="W35" s="683"/>
      <c r="X35" s="683"/>
      <c r="Y35" s="683"/>
      <c r="Z35" s="683"/>
      <c r="AA35" s="705">
        <v>17</v>
      </c>
      <c r="AB35" s="706"/>
      <c r="AC35" s="706"/>
      <c r="AD35" s="706"/>
      <c r="AE35" s="703" t="s">
        <v>60</v>
      </c>
      <c r="AF35" s="704"/>
      <c r="AG35" s="683" t="s">
        <v>124</v>
      </c>
      <c r="AH35" s="683"/>
      <c r="AI35" s="683"/>
      <c r="AJ35" s="683"/>
      <c r="AK35" s="683"/>
      <c r="AL35" s="683"/>
      <c r="AM35" s="683"/>
      <c r="AN35" s="683"/>
      <c r="AO35" s="705">
        <v>24</v>
      </c>
      <c r="AP35" s="706"/>
      <c r="AQ35" s="706"/>
      <c r="AR35" s="706"/>
      <c r="AS35" s="703" t="s">
        <v>60</v>
      </c>
      <c r="AT35" s="704"/>
      <c r="AU35" s="683" t="s">
        <v>126</v>
      </c>
      <c r="AV35" s="683"/>
      <c r="AW35" s="683"/>
      <c r="AX35" s="683"/>
      <c r="AY35" s="683"/>
      <c r="AZ35" s="683"/>
      <c r="BA35" s="683"/>
      <c r="BB35" s="683"/>
      <c r="BC35" s="705">
        <v>31</v>
      </c>
      <c r="BD35" s="706"/>
      <c r="BE35" s="706"/>
      <c r="BF35" s="706"/>
      <c r="BG35" s="703" t="s">
        <v>60</v>
      </c>
      <c r="BH35" s="704"/>
      <c r="BI35" s="683" t="s">
        <v>128</v>
      </c>
      <c r="BJ35" s="683"/>
      <c r="BK35" s="683"/>
      <c r="BL35" s="683"/>
      <c r="BM35" s="683"/>
      <c r="BN35" s="683"/>
      <c r="BO35" s="683"/>
      <c r="BP35" s="683"/>
      <c r="BQ35" s="705">
        <v>7</v>
      </c>
      <c r="BR35" s="706"/>
      <c r="BS35" s="706"/>
      <c r="BT35" s="706"/>
      <c r="BU35" s="703" t="s">
        <v>60</v>
      </c>
      <c r="BV35" s="704"/>
      <c r="BW35" s="683" t="s">
        <v>132</v>
      </c>
      <c r="BX35" s="683"/>
      <c r="BY35" s="683"/>
      <c r="BZ35" s="683"/>
      <c r="CA35" s="683"/>
      <c r="CB35" s="683"/>
      <c r="CC35" s="683"/>
      <c r="CD35" s="683"/>
      <c r="CE35" s="705"/>
      <c r="CF35" s="706"/>
      <c r="CG35" s="706"/>
      <c r="CH35" s="706"/>
      <c r="CI35" s="703" t="s">
        <v>60</v>
      </c>
      <c r="CJ35" s="704"/>
      <c r="CK35" s="683"/>
      <c r="CL35" s="683"/>
      <c r="CM35" s="683"/>
      <c r="CN35" s="683"/>
      <c r="CO35" s="683"/>
      <c r="CP35" s="683"/>
      <c r="CQ35" s="683"/>
      <c r="CR35" s="683"/>
      <c r="CS35" s="30"/>
      <c r="CT35" s="551" t="s">
        <v>42</v>
      </c>
      <c r="CU35" s="552"/>
      <c r="CV35" s="552"/>
      <c r="CW35" s="552"/>
      <c r="CX35" s="552"/>
      <c r="CY35" s="552"/>
      <c r="CZ35" s="552"/>
      <c r="DA35" s="552"/>
      <c r="DB35" s="552"/>
      <c r="DC35" s="552"/>
      <c r="DD35" s="552"/>
      <c r="DE35" s="552"/>
      <c r="DF35" s="552"/>
      <c r="DG35" s="552"/>
      <c r="DH35" s="552"/>
      <c r="DI35" s="552"/>
      <c r="DJ35" s="552"/>
      <c r="DK35" s="552"/>
      <c r="DL35" s="552"/>
      <c r="DM35" s="552"/>
      <c r="DN35" s="552"/>
      <c r="DO35" s="552"/>
      <c r="DP35" s="552"/>
      <c r="DQ35" s="552"/>
      <c r="DR35" s="552"/>
      <c r="DS35" s="552"/>
      <c r="DT35" s="552"/>
      <c r="DU35" s="552"/>
      <c r="DV35" s="552"/>
      <c r="DW35" s="552"/>
      <c r="DX35" s="552"/>
      <c r="DY35" s="552"/>
      <c r="DZ35" s="553"/>
    </row>
    <row r="36" spans="2:130" ht="20.100000000000001" customHeight="1">
      <c r="B36" s="558"/>
      <c r="C36" s="559"/>
      <c r="D36" s="559"/>
      <c r="E36" s="559"/>
      <c r="F36" s="559"/>
      <c r="G36" s="689"/>
      <c r="H36" s="690"/>
      <c r="I36" s="690"/>
      <c r="J36" s="690"/>
      <c r="K36" s="690"/>
      <c r="L36" s="691"/>
      <c r="M36" s="708">
        <v>40309</v>
      </c>
      <c r="N36" s="708"/>
      <c r="O36" s="708"/>
      <c r="P36" s="708"/>
      <c r="Q36" s="681" t="s">
        <v>61</v>
      </c>
      <c r="R36" s="682"/>
      <c r="S36" s="680" t="s">
        <v>123</v>
      </c>
      <c r="T36" s="680"/>
      <c r="U36" s="680"/>
      <c r="V36" s="680"/>
      <c r="W36" s="680"/>
      <c r="X36" s="680"/>
      <c r="Y36" s="680"/>
      <c r="Z36" s="680"/>
      <c r="AA36" s="684">
        <v>18</v>
      </c>
      <c r="AB36" s="685"/>
      <c r="AC36" s="685"/>
      <c r="AD36" s="685"/>
      <c r="AE36" s="681" t="s">
        <v>61</v>
      </c>
      <c r="AF36" s="682"/>
      <c r="AG36" s="680"/>
      <c r="AH36" s="680"/>
      <c r="AI36" s="680"/>
      <c r="AJ36" s="680"/>
      <c r="AK36" s="680"/>
      <c r="AL36" s="680"/>
      <c r="AM36" s="680"/>
      <c r="AN36" s="680"/>
      <c r="AO36" s="684">
        <v>25</v>
      </c>
      <c r="AP36" s="685"/>
      <c r="AQ36" s="685"/>
      <c r="AR36" s="685"/>
      <c r="AS36" s="681" t="s">
        <v>61</v>
      </c>
      <c r="AT36" s="682"/>
      <c r="AU36" s="680"/>
      <c r="AV36" s="680"/>
      <c r="AW36" s="680"/>
      <c r="AX36" s="680"/>
      <c r="AY36" s="680"/>
      <c r="AZ36" s="680"/>
      <c r="BA36" s="680"/>
      <c r="BB36" s="680"/>
      <c r="BC36" s="707">
        <v>40330</v>
      </c>
      <c r="BD36" s="708"/>
      <c r="BE36" s="708"/>
      <c r="BF36" s="709"/>
      <c r="BG36" s="681" t="s">
        <v>61</v>
      </c>
      <c r="BH36" s="682"/>
      <c r="BI36" s="680" t="s">
        <v>129</v>
      </c>
      <c r="BJ36" s="680"/>
      <c r="BK36" s="680"/>
      <c r="BL36" s="680"/>
      <c r="BM36" s="680"/>
      <c r="BN36" s="680"/>
      <c r="BO36" s="680"/>
      <c r="BP36" s="680"/>
      <c r="BQ36" s="684">
        <v>8</v>
      </c>
      <c r="BR36" s="685"/>
      <c r="BS36" s="685"/>
      <c r="BT36" s="685"/>
      <c r="BU36" s="681" t="s">
        <v>61</v>
      </c>
      <c r="BV36" s="682"/>
      <c r="BW36" s="680" t="s">
        <v>133</v>
      </c>
      <c r="BX36" s="680"/>
      <c r="BY36" s="680"/>
      <c r="BZ36" s="680"/>
      <c r="CA36" s="680"/>
      <c r="CB36" s="680"/>
      <c r="CC36" s="680"/>
      <c r="CD36" s="680"/>
      <c r="CE36" s="684"/>
      <c r="CF36" s="685"/>
      <c r="CG36" s="685"/>
      <c r="CH36" s="685"/>
      <c r="CI36" s="681" t="s">
        <v>61</v>
      </c>
      <c r="CJ36" s="682"/>
      <c r="CK36" s="680"/>
      <c r="CL36" s="680"/>
      <c r="CM36" s="680"/>
      <c r="CN36" s="680"/>
      <c r="CO36" s="680"/>
      <c r="CP36" s="680"/>
      <c r="CQ36" s="680"/>
      <c r="CR36" s="680"/>
      <c r="CS36" s="31"/>
      <c r="CT36" s="721"/>
      <c r="CU36" s="722"/>
      <c r="CV36" s="722"/>
      <c r="CW36" s="722"/>
      <c r="CX36" s="722"/>
      <c r="CY36" s="722"/>
      <c r="CZ36" s="722"/>
      <c r="DA36" s="722"/>
      <c r="DB36" s="722"/>
      <c r="DC36" s="722"/>
      <c r="DD36" s="722"/>
      <c r="DE36" s="722"/>
      <c r="DF36" s="722"/>
      <c r="DG36" s="722"/>
      <c r="DH36" s="722"/>
      <c r="DI36" s="722"/>
      <c r="DJ36" s="722"/>
      <c r="DK36" s="722"/>
      <c r="DL36" s="722"/>
      <c r="DM36" s="722"/>
      <c r="DN36" s="722"/>
      <c r="DO36" s="722"/>
      <c r="DP36" s="722"/>
      <c r="DQ36" s="722"/>
      <c r="DR36" s="722"/>
      <c r="DS36" s="722"/>
      <c r="DT36" s="722"/>
      <c r="DU36" s="722"/>
      <c r="DV36" s="722"/>
      <c r="DW36" s="722"/>
      <c r="DX36" s="722"/>
      <c r="DY36" s="722"/>
      <c r="DZ36" s="723"/>
    </row>
    <row r="37" spans="2:130" ht="20.100000000000001" customHeight="1">
      <c r="B37" s="558"/>
      <c r="C37" s="559"/>
      <c r="D37" s="559"/>
      <c r="E37" s="559"/>
      <c r="F37" s="559"/>
      <c r="G37" s="692"/>
      <c r="H37" s="693"/>
      <c r="I37" s="693"/>
      <c r="J37" s="693"/>
      <c r="K37" s="693"/>
      <c r="L37" s="694"/>
      <c r="M37" s="684">
        <v>12</v>
      </c>
      <c r="N37" s="685"/>
      <c r="O37" s="685"/>
      <c r="P37" s="685"/>
      <c r="Q37" s="681" t="s">
        <v>62</v>
      </c>
      <c r="R37" s="682"/>
      <c r="S37" s="680"/>
      <c r="T37" s="680"/>
      <c r="U37" s="680"/>
      <c r="V37" s="680"/>
      <c r="W37" s="680"/>
      <c r="X37" s="680"/>
      <c r="Y37" s="680"/>
      <c r="Z37" s="680"/>
      <c r="AA37" s="684">
        <v>19</v>
      </c>
      <c r="AB37" s="685"/>
      <c r="AC37" s="685"/>
      <c r="AD37" s="685"/>
      <c r="AE37" s="681" t="s">
        <v>62</v>
      </c>
      <c r="AF37" s="682"/>
      <c r="AG37" s="680" t="s">
        <v>125</v>
      </c>
      <c r="AH37" s="680"/>
      <c r="AI37" s="680"/>
      <c r="AJ37" s="680"/>
      <c r="AK37" s="680"/>
      <c r="AL37" s="680"/>
      <c r="AM37" s="680"/>
      <c r="AN37" s="680"/>
      <c r="AO37" s="684">
        <v>26</v>
      </c>
      <c r="AP37" s="685"/>
      <c r="AQ37" s="685"/>
      <c r="AR37" s="685"/>
      <c r="AS37" s="681" t="s">
        <v>62</v>
      </c>
      <c r="AT37" s="682"/>
      <c r="AU37" s="680"/>
      <c r="AV37" s="680"/>
      <c r="AW37" s="680"/>
      <c r="AX37" s="680"/>
      <c r="AY37" s="680"/>
      <c r="AZ37" s="680"/>
      <c r="BA37" s="680"/>
      <c r="BB37" s="680"/>
      <c r="BC37" s="684">
        <v>2</v>
      </c>
      <c r="BD37" s="685"/>
      <c r="BE37" s="685"/>
      <c r="BF37" s="685"/>
      <c r="BG37" s="681" t="s">
        <v>62</v>
      </c>
      <c r="BH37" s="682"/>
      <c r="BI37" s="680" t="s">
        <v>25</v>
      </c>
      <c r="BJ37" s="680"/>
      <c r="BK37" s="680"/>
      <c r="BL37" s="680"/>
      <c r="BM37" s="680"/>
      <c r="BN37" s="680"/>
      <c r="BO37" s="680"/>
      <c r="BP37" s="680"/>
      <c r="BQ37" s="684">
        <v>9</v>
      </c>
      <c r="BR37" s="685"/>
      <c r="BS37" s="685"/>
      <c r="BT37" s="685"/>
      <c r="BU37" s="681" t="s">
        <v>62</v>
      </c>
      <c r="BV37" s="682"/>
      <c r="BW37" s="680" t="s">
        <v>134</v>
      </c>
      <c r="BX37" s="680"/>
      <c r="BY37" s="680"/>
      <c r="BZ37" s="680"/>
      <c r="CA37" s="680"/>
      <c r="CB37" s="680"/>
      <c r="CC37" s="680"/>
      <c r="CD37" s="680"/>
      <c r="CE37" s="684"/>
      <c r="CF37" s="685"/>
      <c r="CG37" s="685"/>
      <c r="CH37" s="685"/>
      <c r="CI37" s="681" t="s">
        <v>62</v>
      </c>
      <c r="CJ37" s="682"/>
      <c r="CK37" s="680"/>
      <c r="CL37" s="680"/>
      <c r="CM37" s="680"/>
      <c r="CN37" s="680"/>
      <c r="CO37" s="680"/>
      <c r="CP37" s="680"/>
      <c r="CQ37" s="680"/>
      <c r="CR37" s="680"/>
      <c r="CS37" s="31"/>
      <c r="CT37" s="721"/>
      <c r="CU37" s="722"/>
      <c r="CV37" s="722"/>
      <c r="CW37" s="722"/>
      <c r="CX37" s="722"/>
      <c r="CY37" s="722"/>
      <c r="CZ37" s="722"/>
      <c r="DA37" s="722"/>
      <c r="DB37" s="722"/>
      <c r="DC37" s="722"/>
      <c r="DD37" s="722"/>
      <c r="DE37" s="722"/>
      <c r="DF37" s="722"/>
      <c r="DG37" s="722"/>
      <c r="DH37" s="722"/>
      <c r="DI37" s="722"/>
      <c r="DJ37" s="722"/>
      <c r="DK37" s="722"/>
      <c r="DL37" s="722"/>
      <c r="DM37" s="722"/>
      <c r="DN37" s="722"/>
      <c r="DO37" s="722"/>
      <c r="DP37" s="722"/>
      <c r="DQ37" s="722"/>
      <c r="DR37" s="722"/>
      <c r="DS37" s="722"/>
      <c r="DT37" s="722"/>
      <c r="DU37" s="722"/>
      <c r="DV37" s="722"/>
      <c r="DW37" s="722"/>
      <c r="DX37" s="722"/>
      <c r="DY37" s="722"/>
      <c r="DZ37" s="723"/>
    </row>
    <row r="38" spans="2:130" ht="20.100000000000001" customHeight="1">
      <c r="B38" s="558"/>
      <c r="C38" s="559"/>
      <c r="D38" s="559"/>
      <c r="E38" s="559"/>
      <c r="F38" s="559"/>
      <c r="G38" s="692"/>
      <c r="H38" s="693"/>
      <c r="I38" s="693"/>
      <c r="J38" s="693"/>
      <c r="K38" s="693"/>
      <c r="L38" s="694"/>
      <c r="M38" s="684">
        <v>13</v>
      </c>
      <c r="N38" s="685"/>
      <c r="O38" s="685"/>
      <c r="P38" s="685"/>
      <c r="Q38" s="681" t="s">
        <v>63</v>
      </c>
      <c r="R38" s="682"/>
      <c r="S38" s="680"/>
      <c r="T38" s="680"/>
      <c r="U38" s="680"/>
      <c r="V38" s="680"/>
      <c r="W38" s="680"/>
      <c r="X38" s="680"/>
      <c r="Y38" s="680"/>
      <c r="Z38" s="680"/>
      <c r="AA38" s="684">
        <v>20</v>
      </c>
      <c r="AB38" s="685"/>
      <c r="AC38" s="685"/>
      <c r="AD38" s="685"/>
      <c r="AE38" s="681" t="s">
        <v>63</v>
      </c>
      <c r="AF38" s="682"/>
      <c r="AG38" s="680"/>
      <c r="AH38" s="680"/>
      <c r="AI38" s="680"/>
      <c r="AJ38" s="680"/>
      <c r="AK38" s="680"/>
      <c r="AL38" s="680"/>
      <c r="AM38" s="680"/>
      <c r="AN38" s="680"/>
      <c r="AO38" s="684">
        <v>27</v>
      </c>
      <c r="AP38" s="685"/>
      <c r="AQ38" s="685"/>
      <c r="AR38" s="685"/>
      <c r="AS38" s="681" t="s">
        <v>63</v>
      </c>
      <c r="AT38" s="682"/>
      <c r="AU38" s="680"/>
      <c r="AV38" s="680"/>
      <c r="AW38" s="680"/>
      <c r="AX38" s="680"/>
      <c r="AY38" s="680"/>
      <c r="AZ38" s="680"/>
      <c r="BA38" s="680"/>
      <c r="BB38" s="680"/>
      <c r="BC38" s="684">
        <v>3</v>
      </c>
      <c r="BD38" s="685"/>
      <c r="BE38" s="685"/>
      <c r="BF38" s="685"/>
      <c r="BG38" s="681" t="s">
        <v>63</v>
      </c>
      <c r="BH38" s="682"/>
      <c r="BI38" s="680" t="s">
        <v>25</v>
      </c>
      <c r="BJ38" s="680"/>
      <c r="BK38" s="680"/>
      <c r="BL38" s="680"/>
      <c r="BM38" s="680"/>
      <c r="BN38" s="680"/>
      <c r="BO38" s="680"/>
      <c r="BP38" s="680"/>
      <c r="BQ38" s="684">
        <v>10</v>
      </c>
      <c r="BR38" s="685"/>
      <c r="BS38" s="685"/>
      <c r="BT38" s="685"/>
      <c r="BU38" s="681" t="s">
        <v>63</v>
      </c>
      <c r="BV38" s="682"/>
      <c r="BW38" s="680"/>
      <c r="BX38" s="680"/>
      <c r="BY38" s="680"/>
      <c r="BZ38" s="680"/>
      <c r="CA38" s="680"/>
      <c r="CB38" s="680"/>
      <c r="CC38" s="680"/>
      <c r="CD38" s="680"/>
      <c r="CE38" s="684"/>
      <c r="CF38" s="685"/>
      <c r="CG38" s="685"/>
      <c r="CH38" s="685"/>
      <c r="CI38" s="681" t="s">
        <v>63</v>
      </c>
      <c r="CJ38" s="682"/>
      <c r="CK38" s="680"/>
      <c r="CL38" s="680"/>
      <c r="CM38" s="680"/>
      <c r="CN38" s="680"/>
      <c r="CO38" s="680"/>
      <c r="CP38" s="680"/>
      <c r="CQ38" s="680"/>
      <c r="CR38" s="680"/>
      <c r="CS38" s="31"/>
      <c r="CT38" s="721"/>
      <c r="CU38" s="722"/>
      <c r="CV38" s="722"/>
      <c r="CW38" s="722"/>
      <c r="CX38" s="722"/>
      <c r="CY38" s="722"/>
      <c r="CZ38" s="722"/>
      <c r="DA38" s="722"/>
      <c r="DB38" s="722"/>
      <c r="DC38" s="722"/>
      <c r="DD38" s="722"/>
      <c r="DE38" s="722"/>
      <c r="DF38" s="722"/>
      <c r="DG38" s="722"/>
      <c r="DH38" s="722"/>
      <c r="DI38" s="722"/>
      <c r="DJ38" s="722"/>
      <c r="DK38" s="722"/>
      <c r="DL38" s="722"/>
      <c r="DM38" s="722"/>
      <c r="DN38" s="722"/>
      <c r="DO38" s="722"/>
      <c r="DP38" s="722"/>
      <c r="DQ38" s="722"/>
      <c r="DR38" s="722"/>
      <c r="DS38" s="722"/>
      <c r="DT38" s="722"/>
      <c r="DU38" s="722"/>
      <c r="DV38" s="722"/>
      <c r="DW38" s="722"/>
      <c r="DX38" s="722"/>
      <c r="DY38" s="722"/>
      <c r="DZ38" s="723"/>
    </row>
    <row r="39" spans="2:130" ht="20.100000000000001" customHeight="1">
      <c r="B39" s="558"/>
      <c r="C39" s="559"/>
      <c r="D39" s="559"/>
      <c r="E39" s="559"/>
      <c r="F39" s="559"/>
      <c r="G39" s="692"/>
      <c r="H39" s="693"/>
      <c r="I39" s="693"/>
      <c r="J39" s="693"/>
      <c r="K39" s="693"/>
      <c r="L39" s="694"/>
      <c r="M39" s="684">
        <v>14</v>
      </c>
      <c r="N39" s="685"/>
      <c r="O39" s="685"/>
      <c r="P39" s="685"/>
      <c r="Q39" s="681" t="s">
        <v>64</v>
      </c>
      <c r="R39" s="682"/>
      <c r="S39" s="680"/>
      <c r="T39" s="680"/>
      <c r="U39" s="680"/>
      <c r="V39" s="680"/>
      <c r="W39" s="680"/>
      <c r="X39" s="680"/>
      <c r="Y39" s="680"/>
      <c r="Z39" s="680"/>
      <c r="AA39" s="684">
        <v>21</v>
      </c>
      <c r="AB39" s="685"/>
      <c r="AC39" s="685"/>
      <c r="AD39" s="685"/>
      <c r="AE39" s="681" t="s">
        <v>64</v>
      </c>
      <c r="AF39" s="682"/>
      <c r="AG39" s="680"/>
      <c r="AH39" s="680"/>
      <c r="AI39" s="680"/>
      <c r="AJ39" s="680"/>
      <c r="AK39" s="680"/>
      <c r="AL39" s="680"/>
      <c r="AM39" s="680"/>
      <c r="AN39" s="680"/>
      <c r="AO39" s="684">
        <v>28</v>
      </c>
      <c r="AP39" s="685"/>
      <c r="AQ39" s="685"/>
      <c r="AR39" s="685"/>
      <c r="AS39" s="681" t="s">
        <v>64</v>
      </c>
      <c r="AT39" s="682"/>
      <c r="AU39" s="680" t="s">
        <v>127</v>
      </c>
      <c r="AV39" s="680"/>
      <c r="AW39" s="680"/>
      <c r="AX39" s="680"/>
      <c r="AY39" s="680"/>
      <c r="AZ39" s="680"/>
      <c r="BA39" s="680"/>
      <c r="BB39" s="680"/>
      <c r="BC39" s="684">
        <v>4</v>
      </c>
      <c r="BD39" s="685"/>
      <c r="BE39" s="685"/>
      <c r="BF39" s="685"/>
      <c r="BG39" s="681" t="s">
        <v>64</v>
      </c>
      <c r="BH39" s="682"/>
      <c r="BI39" s="680" t="s">
        <v>130</v>
      </c>
      <c r="BJ39" s="680"/>
      <c r="BK39" s="680"/>
      <c r="BL39" s="680"/>
      <c r="BM39" s="680"/>
      <c r="BN39" s="680"/>
      <c r="BO39" s="680"/>
      <c r="BP39" s="680"/>
      <c r="BQ39" s="684">
        <v>11</v>
      </c>
      <c r="BR39" s="685"/>
      <c r="BS39" s="685"/>
      <c r="BT39" s="685"/>
      <c r="BU39" s="681" t="s">
        <v>64</v>
      </c>
      <c r="BV39" s="682"/>
      <c r="BW39" s="680" t="s">
        <v>135</v>
      </c>
      <c r="BX39" s="680"/>
      <c r="BY39" s="680"/>
      <c r="BZ39" s="680"/>
      <c r="CA39" s="680"/>
      <c r="CB39" s="680"/>
      <c r="CC39" s="680"/>
      <c r="CD39" s="680"/>
      <c r="CE39" s="684"/>
      <c r="CF39" s="685"/>
      <c r="CG39" s="685"/>
      <c r="CH39" s="685"/>
      <c r="CI39" s="681" t="s">
        <v>64</v>
      </c>
      <c r="CJ39" s="682"/>
      <c r="CK39" s="680"/>
      <c r="CL39" s="680"/>
      <c r="CM39" s="680"/>
      <c r="CN39" s="680"/>
      <c r="CO39" s="680"/>
      <c r="CP39" s="680"/>
      <c r="CQ39" s="680"/>
      <c r="CR39" s="680"/>
      <c r="CS39" s="31"/>
      <c r="CT39" s="721"/>
      <c r="CU39" s="722"/>
      <c r="CV39" s="722"/>
      <c r="CW39" s="722"/>
      <c r="CX39" s="722"/>
      <c r="CY39" s="722"/>
      <c r="CZ39" s="722"/>
      <c r="DA39" s="722"/>
      <c r="DB39" s="722"/>
      <c r="DC39" s="722"/>
      <c r="DD39" s="722"/>
      <c r="DE39" s="722"/>
      <c r="DF39" s="722"/>
      <c r="DG39" s="722"/>
      <c r="DH39" s="722"/>
      <c r="DI39" s="722"/>
      <c r="DJ39" s="722"/>
      <c r="DK39" s="722"/>
      <c r="DL39" s="722"/>
      <c r="DM39" s="722"/>
      <c r="DN39" s="722"/>
      <c r="DO39" s="722"/>
      <c r="DP39" s="722"/>
      <c r="DQ39" s="722"/>
      <c r="DR39" s="722"/>
      <c r="DS39" s="722"/>
      <c r="DT39" s="722"/>
      <c r="DU39" s="722"/>
      <c r="DV39" s="722"/>
      <c r="DW39" s="722"/>
      <c r="DX39" s="722"/>
      <c r="DY39" s="722"/>
      <c r="DZ39" s="723"/>
    </row>
    <row r="40" spans="2:130" ht="20.100000000000001" customHeight="1">
      <c r="B40" s="558"/>
      <c r="C40" s="559"/>
      <c r="D40" s="559"/>
      <c r="E40" s="559"/>
      <c r="F40" s="559"/>
      <c r="G40" s="692"/>
      <c r="H40" s="693"/>
      <c r="I40" s="693"/>
      <c r="J40" s="693"/>
      <c r="K40" s="693"/>
      <c r="L40" s="694"/>
      <c r="M40" s="684">
        <v>15</v>
      </c>
      <c r="N40" s="685"/>
      <c r="O40" s="685"/>
      <c r="P40" s="685"/>
      <c r="Q40" s="681" t="s">
        <v>65</v>
      </c>
      <c r="R40" s="682"/>
      <c r="S40" s="680"/>
      <c r="T40" s="680"/>
      <c r="U40" s="680"/>
      <c r="V40" s="680"/>
      <c r="W40" s="680"/>
      <c r="X40" s="680"/>
      <c r="Y40" s="680"/>
      <c r="Z40" s="680"/>
      <c r="AA40" s="684">
        <v>22</v>
      </c>
      <c r="AB40" s="685"/>
      <c r="AC40" s="685"/>
      <c r="AD40" s="685"/>
      <c r="AE40" s="681" t="s">
        <v>65</v>
      </c>
      <c r="AF40" s="682"/>
      <c r="AG40" s="680"/>
      <c r="AH40" s="680"/>
      <c r="AI40" s="680"/>
      <c r="AJ40" s="680"/>
      <c r="AK40" s="680"/>
      <c r="AL40" s="680"/>
      <c r="AM40" s="680"/>
      <c r="AN40" s="680"/>
      <c r="AO40" s="684">
        <v>29</v>
      </c>
      <c r="AP40" s="685"/>
      <c r="AQ40" s="685"/>
      <c r="AR40" s="685"/>
      <c r="AS40" s="681" t="s">
        <v>65</v>
      </c>
      <c r="AT40" s="682"/>
      <c r="AU40" s="680"/>
      <c r="AV40" s="680"/>
      <c r="AW40" s="680"/>
      <c r="AX40" s="680"/>
      <c r="AY40" s="680"/>
      <c r="AZ40" s="680"/>
      <c r="BA40" s="680"/>
      <c r="BB40" s="680"/>
      <c r="BC40" s="684">
        <v>5</v>
      </c>
      <c r="BD40" s="685"/>
      <c r="BE40" s="685"/>
      <c r="BF40" s="685"/>
      <c r="BG40" s="681" t="s">
        <v>65</v>
      </c>
      <c r="BH40" s="682"/>
      <c r="BI40" s="680" t="s">
        <v>131</v>
      </c>
      <c r="BJ40" s="680"/>
      <c r="BK40" s="680"/>
      <c r="BL40" s="680"/>
      <c r="BM40" s="680"/>
      <c r="BN40" s="680"/>
      <c r="BO40" s="680"/>
      <c r="BP40" s="680"/>
      <c r="BQ40" s="684"/>
      <c r="BR40" s="685"/>
      <c r="BS40" s="685"/>
      <c r="BT40" s="685"/>
      <c r="BU40" s="681" t="s">
        <v>65</v>
      </c>
      <c r="BV40" s="682"/>
      <c r="BW40" s="680"/>
      <c r="BX40" s="680"/>
      <c r="BY40" s="680"/>
      <c r="BZ40" s="680"/>
      <c r="CA40" s="680"/>
      <c r="CB40" s="680"/>
      <c r="CC40" s="680"/>
      <c r="CD40" s="680"/>
      <c r="CE40" s="684"/>
      <c r="CF40" s="685"/>
      <c r="CG40" s="685"/>
      <c r="CH40" s="685"/>
      <c r="CI40" s="681" t="s">
        <v>65</v>
      </c>
      <c r="CJ40" s="682"/>
      <c r="CK40" s="680"/>
      <c r="CL40" s="680"/>
      <c r="CM40" s="680"/>
      <c r="CN40" s="680"/>
      <c r="CO40" s="680"/>
      <c r="CP40" s="680"/>
      <c r="CQ40" s="680"/>
      <c r="CR40" s="680"/>
      <c r="CS40" s="31"/>
      <c r="CT40" s="721"/>
      <c r="CU40" s="722"/>
      <c r="CV40" s="722"/>
      <c r="CW40" s="722"/>
      <c r="CX40" s="722"/>
      <c r="CY40" s="722"/>
      <c r="CZ40" s="722"/>
      <c r="DA40" s="722"/>
      <c r="DB40" s="722"/>
      <c r="DC40" s="722"/>
      <c r="DD40" s="722"/>
      <c r="DE40" s="722"/>
      <c r="DF40" s="722"/>
      <c r="DG40" s="722"/>
      <c r="DH40" s="722"/>
      <c r="DI40" s="722"/>
      <c r="DJ40" s="722"/>
      <c r="DK40" s="722"/>
      <c r="DL40" s="722"/>
      <c r="DM40" s="722"/>
      <c r="DN40" s="722"/>
      <c r="DO40" s="722"/>
      <c r="DP40" s="722"/>
      <c r="DQ40" s="722"/>
      <c r="DR40" s="722"/>
      <c r="DS40" s="722"/>
      <c r="DT40" s="722"/>
      <c r="DU40" s="722"/>
      <c r="DV40" s="722"/>
      <c r="DW40" s="722"/>
      <c r="DX40" s="722"/>
      <c r="DY40" s="722"/>
      <c r="DZ40" s="723"/>
    </row>
    <row r="41" spans="2:130" ht="20.100000000000001" customHeight="1" thickBot="1">
      <c r="B41" s="560"/>
      <c r="C41" s="561"/>
      <c r="D41" s="561"/>
      <c r="E41" s="561"/>
      <c r="F41" s="561"/>
      <c r="G41" s="695"/>
      <c r="H41" s="696"/>
      <c r="I41" s="696"/>
      <c r="J41" s="696"/>
      <c r="K41" s="696"/>
      <c r="L41" s="697"/>
      <c r="M41" s="700">
        <v>16</v>
      </c>
      <c r="N41" s="701"/>
      <c r="O41" s="701"/>
      <c r="P41" s="701"/>
      <c r="Q41" s="698" t="s">
        <v>66</v>
      </c>
      <c r="R41" s="699"/>
      <c r="S41" s="679"/>
      <c r="T41" s="679"/>
      <c r="U41" s="679"/>
      <c r="V41" s="679"/>
      <c r="W41" s="679"/>
      <c r="X41" s="679"/>
      <c r="Y41" s="679"/>
      <c r="Z41" s="679"/>
      <c r="AA41" s="700">
        <v>23</v>
      </c>
      <c r="AB41" s="701"/>
      <c r="AC41" s="701"/>
      <c r="AD41" s="701"/>
      <c r="AE41" s="698" t="s">
        <v>66</v>
      </c>
      <c r="AF41" s="699"/>
      <c r="AG41" s="679"/>
      <c r="AH41" s="679"/>
      <c r="AI41" s="679"/>
      <c r="AJ41" s="679"/>
      <c r="AK41" s="679"/>
      <c r="AL41" s="679"/>
      <c r="AM41" s="679"/>
      <c r="AN41" s="679"/>
      <c r="AO41" s="700">
        <v>30</v>
      </c>
      <c r="AP41" s="701"/>
      <c r="AQ41" s="701"/>
      <c r="AR41" s="701"/>
      <c r="AS41" s="698" t="s">
        <v>66</v>
      </c>
      <c r="AT41" s="699"/>
      <c r="AU41" s="679"/>
      <c r="AV41" s="679"/>
      <c r="AW41" s="679"/>
      <c r="AX41" s="679"/>
      <c r="AY41" s="679"/>
      <c r="AZ41" s="679"/>
      <c r="BA41" s="679"/>
      <c r="BB41" s="679"/>
      <c r="BC41" s="700">
        <v>6</v>
      </c>
      <c r="BD41" s="701"/>
      <c r="BE41" s="701"/>
      <c r="BF41" s="701"/>
      <c r="BG41" s="698" t="s">
        <v>66</v>
      </c>
      <c r="BH41" s="699"/>
      <c r="BI41" s="679"/>
      <c r="BJ41" s="679"/>
      <c r="BK41" s="679"/>
      <c r="BL41" s="679"/>
      <c r="BM41" s="679"/>
      <c r="BN41" s="679"/>
      <c r="BO41" s="679"/>
      <c r="BP41" s="679"/>
      <c r="BQ41" s="700"/>
      <c r="BR41" s="701"/>
      <c r="BS41" s="701"/>
      <c r="BT41" s="701"/>
      <c r="BU41" s="698" t="s">
        <v>66</v>
      </c>
      <c r="BV41" s="699"/>
      <c r="BW41" s="679"/>
      <c r="BX41" s="679"/>
      <c r="BY41" s="679"/>
      <c r="BZ41" s="679"/>
      <c r="CA41" s="679"/>
      <c r="CB41" s="679"/>
      <c r="CC41" s="679"/>
      <c r="CD41" s="679"/>
      <c r="CE41" s="700"/>
      <c r="CF41" s="701"/>
      <c r="CG41" s="701"/>
      <c r="CH41" s="701"/>
      <c r="CI41" s="698" t="s">
        <v>66</v>
      </c>
      <c r="CJ41" s="699"/>
      <c r="CK41" s="679"/>
      <c r="CL41" s="679"/>
      <c r="CM41" s="679"/>
      <c r="CN41" s="679"/>
      <c r="CO41" s="679"/>
      <c r="CP41" s="679"/>
      <c r="CQ41" s="679"/>
      <c r="CR41" s="679"/>
      <c r="CS41" s="32"/>
      <c r="CT41" s="766"/>
      <c r="CU41" s="452"/>
      <c r="CV41" s="452"/>
      <c r="CW41" s="452"/>
      <c r="CX41" s="452"/>
      <c r="CY41" s="452"/>
      <c r="CZ41" s="452"/>
      <c r="DA41" s="452"/>
      <c r="DB41" s="452"/>
      <c r="DC41" s="452"/>
      <c r="DD41" s="452"/>
      <c r="DE41" s="452"/>
      <c r="DF41" s="452"/>
      <c r="DG41" s="452"/>
      <c r="DH41" s="452"/>
      <c r="DI41" s="452"/>
      <c r="DJ41" s="452"/>
      <c r="DK41" s="452"/>
      <c r="DL41" s="452"/>
      <c r="DM41" s="452"/>
      <c r="DN41" s="452"/>
      <c r="DO41" s="452"/>
      <c r="DP41" s="452"/>
      <c r="DQ41" s="452"/>
      <c r="DR41" s="452"/>
      <c r="DS41" s="452"/>
      <c r="DT41" s="452"/>
      <c r="DU41" s="452"/>
      <c r="DV41" s="452"/>
      <c r="DW41" s="452"/>
      <c r="DX41" s="452"/>
      <c r="DY41" s="452"/>
      <c r="DZ41" s="671"/>
    </row>
    <row r="42" spans="2:130" ht="20.100000000000001" customHeight="1"/>
    <row r="43" spans="2:130" ht="20.100000000000001" customHeight="1">
      <c r="C43" t="s">
        <v>69</v>
      </c>
    </row>
    <row r="44" spans="2:130" ht="20.100000000000001" customHeight="1">
      <c r="C44" t="s">
        <v>70</v>
      </c>
      <c r="BO44" s="2"/>
    </row>
    <row r="45" spans="2:130" ht="20.100000000000001" customHeight="1"/>
    <row r="46" spans="2:130" ht="20.100000000000001" customHeight="1"/>
    <row r="47" spans="2:130" ht="20.100000000000001" customHeight="1"/>
    <row r="48" spans="2:130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</sheetData>
  <mergeCells count="556">
    <mergeCell ref="B2:DZ2"/>
    <mergeCell ref="BX9:BZ9"/>
    <mergeCell ref="BX10:BZ10"/>
    <mergeCell ref="BX11:BZ11"/>
    <mergeCell ref="CB5:CG5"/>
    <mergeCell ref="CB6:CG6"/>
    <mergeCell ref="CB7:CG7"/>
    <mergeCell ref="BW4:CA4"/>
    <mergeCell ref="CC14:CE14"/>
    <mergeCell ref="BW6:CA6"/>
    <mergeCell ref="BX13:BZ13"/>
    <mergeCell ref="BX14:BZ14"/>
    <mergeCell ref="CJ11:CP11"/>
    <mergeCell ref="CC9:CE9"/>
    <mergeCell ref="CC10:CE10"/>
    <mergeCell ref="CC11:CE11"/>
    <mergeCell ref="CC12:CE12"/>
    <mergeCell ref="CC13:CE13"/>
    <mergeCell ref="CV5:CY5"/>
    <mergeCell ref="CZ5:DB5"/>
    <mergeCell ref="DC5:DG5"/>
    <mergeCell ref="CF9:CI9"/>
    <mergeCell ref="CJ9:CP9"/>
    <mergeCell ref="CF10:CI10"/>
    <mergeCell ref="CT40:DZ40"/>
    <mergeCell ref="CT41:DZ41"/>
    <mergeCell ref="CH4:CJ4"/>
    <mergeCell ref="CH5:CJ5"/>
    <mergeCell ref="CH6:CJ6"/>
    <mergeCell ref="CH7:CJ7"/>
    <mergeCell ref="AQ31:DZ31"/>
    <mergeCell ref="AQ32:DZ32"/>
    <mergeCell ref="AQ29:DZ29"/>
    <mergeCell ref="CC15:CE15"/>
    <mergeCell ref="CC16:CE16"/>
    <mergeCell ref="CC17:CE17"/>
    <mergeCell ref="BX15:BZ15"/>
    <mergeCell ref="BX16:BZ16"/>
    <mergeCell ref="BX17:BZ17"/>
    <mergeCell ref="CF18:CI18"/>
    <mergeCell ref="CJ18:CP18"/>
    <mergeCell ref="CF15:CI15"/>
    <mergeCell ref="BX18:BZ18"/>
    <mergeCell ref="CQ16:CS16"/>
    <mergeCell ref="CC18:CE18"/>
    <mergeCell ref="CJ10:CP10"/>
    <mergeCell ref="CF11:CI11"/>
    <mergeCell ref="CF17:CI17"/>
    <mergeCell ref="DS3:DZ3"/>
    <mergeCell ref="DN3:DR3"/>
    <mergeCell ref="DF3:DM3"/>
    <mergeCell ref="DA3:DE3"/>
    <mergeCell ref="BW3:CH3"/>
    <mergeCell ref="CI3:CM3"/>
    <mergeCell ref="CN3:CU3"/>
    <mergeCell ref="DN4:DR4"/>
    <mergeCell ref="DN5:DR5"/>
    <mergeCell ref="DS4:DZ4"/>
    <mergeCell ref="DS5:DZ5"/>
    <mergeCell ref="CB4:CG4"/>
    <mergeCell ref="B4:F7"/>
    <mergeCell ref="X6:AC6"/>
    <mergeCell ref="AD6:AF6"/>
    <mergeCell ref="AG6:AI6"/>
    <mergeCell ref="G5:L5"/>
    <mergeCell ref="M4:P4"/>
    <mergeCell ref="Q6:R6"/>
    <mergeCell ref="S6:V6"/>
    <mergeCell ref="Q4:R4"/>
    <mergeCell ref="Q5:R5"/>
    <mergeCell ref="S4:V4"/>
    <mergeCell ref="S5:V5"/>
    <mergeCell ref="Y3:AP3"/>
    <mergeCell ref="AQ3:AU3"/>
    <mergeCell ref="AV3:BQ3"/>
    <mergeCell ref="BR3:BV3"/>
    <mergeCell ref="AQ5:AU5"/>
    <mergeCell ref="AV5:AX5"/>
    <mergeCell ref="AY5:BD5"/>
    <mergeCell ref="BG5:BL5"/>
    <mergeCell ref="BW5:CA5"/>
    <mergeCell ref="AM4:AO4"/>
    <mergeCell ref="X5:AC5"/>
    <mergeCell ref="AD5:AF5"/>
    <mergeCell ref="AG5:AI5"/>
    <mergeCell ref="G27:W27"/>
    <mergeCell ref="X27:AB27"/>
    <mergeCell ref="AC27:AI27"/>
    <mergeCell ref="AJ27:AP27"/>
    <mergeCell ref="G32:W32"/>
    <mergeCell ref="X32:AB32"/>
    <mergeCell ref="AC32:AI32"/>
    <mergeCell ref="AJ32:AP32"/>
    <mergeCell ref="AJ6:AL6"/>
    <mergeCell ref="AM6:AO6"/>
    <mergeCell ref="X30:AB30"/>
    <mergeCell ref="AC30:AI30"/>
    <mergeCell ref="AJ30:AP30"/>
    <mergeCell ref="G31:W31"/>
    <mergeCell ref="AJ26:AP26"/>
    <mergeCell ref="AO16:AR16"/>
    <mergeCell ref="AK15:AN15"/>
    <mergeCell ref="AK18:AN18"/>
    <mergeCell ref="AH10:AJ10"/>
    <mergeCell ref="AH13:AJ13"/>
    <mergeCell ref="AH14:AJ14"/>
    <mergeCell ref="AK16:AN16"/>
    <mergeCell ref="AK13:AN13"/>
    <mergeCell ref="AK14:AN14"/>
    <mergeCell ref="B25:F32"/>
    <mergeCell ref="G25:W25"/>
    <mergeCell ref="X25:AB25"/>
    <mergeCell ref="AC25:AI25"/>
    <mergeCell ref="AJ25:AP25"/>
    <mergeCell ref="AQ25:DZ25"/>
    <mergeCell ref="G26:W26"/>
    <mergeCell ref="X26:AB26"/>
    <mergeCell ref="AC26:AI26"/>
    <mergeCell ref="AQ27:DZ27"/>
    <mergeCell ref="G28:W28"/>
    <mergeCell ref="X28:AB28"/>
    <mergeCell ref="AC28:AI28"/>
    <mergeCell ref="AJ28:AP28"/>
    <mergeCell ref="AQ28:DZ28"/>
    <mergeCell ref="AQ30:DZ30"/>
    <mergeCell ref="G29:W29"/>
    <mergeCell ref="X29:AB29"/>
    <mergeCell ref="AC29:AI29"/>
    <mergeCell ref="AJ29:AP29"/>
    <mergeCell ref="G30:W30"/>
    <mergeCell ref="X31:AB31"/>
    <mergeCell ref="AC31:AI31"/>
    <mergeCell ref="AJ31:AP31"/>
    <mergeCell ref="AQ26:DZ26"/>
    <mergeCell ref="K21:AO21"/>
    <mergeCell ref="AP21:BF21"/>
    <mergeCell ref="BG21:BK21"/>
    <mergeCell ref="BL21:DZ21"/>
    <mergeCell ref="BL22:DZ22"/>
    <mergeCell ref="BL23:DZ23"/>
    <mergeCell ref="G23:J23"/>
    <mergeCell ref="K23:AO23"/>
    <mergeCell ref="AP23:BF23"/>
    <mergeCell ref="BG23:BK23"/>
    <mergeCell ref="G22:J22"/>
    <mergeCell ref="K22:AO22"/>
    <mergeCell ref="AP22:BF22"/>
    <mergeCell ref="BG22:BK22"/>
    <mergeCell ref="G24:J24"/>
    <mergeCell ref="K24:AO24"/>
    <mergeCell ref="AP24:BF24"/>
    <mergeCell ref="BG24:BK24"/>
    <mergeCell ref="BL24:DZ24"/>
    <mergeCell ref="B19:F24"/>
    <mergeCell ref="G19:J19"/>
    <mergeCell ref="BL19:DZ19"/>
    <mergeCell ref="G20:J20"/>
    <mergeCell ref="K20:AO20"/>
    <mergeCell ref="AP20:BF20"/>
    <mergeCell ref="BG20:BK20"/>
    <mergeCell ref="BL20:DZ20"/>
    <mergeCell ref="G21:J21"/>
    <mergeCell ref="K19:AO19"/>
    <mergeCell ref="BG19:BK19"/>
    <mergeCell ref="AP19:BF19"/>
    <mergeCell ref="DL18:DP18"/>
    <mergeCell ref="DQ18:DU18"/>
    <mergeCell ref="DV18:DZ18"/>
    <mergeCell ref="DG17:DK17"/>
    <mergeCell ref="DL17:DP17"/>
    <mergeCell ref="DQ17:DU17"/>
    <mergeCell ref="DV17:DZ17"/>
    <mergeCell ref="AV6:AX6"/>
    <mergeCell ref="AY6:BD6"/>
    <mergeCell ref="DG18:DK18"/>
    <mergeCell ref="DG16:DK16"/>
    <mergeCell ref="DG14:DK14"/>
    <mergeCell ref="DG10:DK10"/>
    <mergeCell ref="CQ18:CS18"/>
    <mergeCell ref="CT18:CV18"/>
    <mergeCell ref="CW18:CZ18"/>
    <mergeCell ref="BW7:CA7"/>
    <mergeCell ref="CJ17:CP17"/>
    <mergeCell ref="CF13:CI13"/>
    <mergeCell ref="CJ13:CP13"/>
    <mergeCell ref="CF14:CI14"/>
    <mergeCell ref="CJ14:CP14"/>
    <mergeCell ref="CJ15:CP15"/>
    <mergeCell ref="CF16:CI16"/>
    <mergeCell ref="DQ14:DU14"/>
    <mergeCell ref="DV14:DZ14"/>
    <mergeCell ref="DG13:DK13"/>
    <mergeCell ref="DL13:DP13"/>
    <mergeCell ref="DQ13:DU13"/>
    <mergeCell ref="DV13:DZ13"/>
    <mergeCell ref="DL16:DP16"/>
    <mergeCell ref="DQ16:DU16"/>
    <mergeCell ref="DV16:DZ16"/>
    <mergeCell ref="DG15:DK15"/>
    <mergeCell ref="DL15:DP15"/>
    <mergeCell ref="DQ15:DU15"/>
    <mergeCell ref="DV15:DZ15"/>
    <mergeCell ref="DL14:DP14"/>
    <mergeCell ref="BA16:BJ16"/>
    <mergeCell ref="BA17:BJ17"/>
    <mergeCell ref="BA18:BJ18"/>
    <mergeCell ref="BK18:BS18"/>
    <mergeCell ref="BT16:BW16"/>
    <mergeCell ref="BT17:BW17"/>
    <mergeCell ref="DA18:DF18"/>
    <mergeCell ref="CQ17:CS17"/>
    <mergeCell ref="CT17:CV17"/>
    <mergeCell ref="CW17:CZ17"/>
    <mergeCell ref="DA17:DF17"/>
    <mergeCell ref="CT16:CV16"/>
    <mergeCell ref="CW16:CZ16"/>
    <mergeCell ref="DA16:DF16"/>
    <mergeCell ref="BK16:BS16"/>
    <mergeCell ref="BK17:BS17"/>
    <mergeCell ref="CT13:CV13"/>
    <mergeCell ref="CQ11:CS11"/>
    <mergeCell ref="CF12:CI12"/>
    <mergeCell ref="CW13:CZ13"/>
    <mergeCell ref="DA13:DF13"/>
    <mergeCell ref="CT14:CV14"/>
    <mergeCell ref="CW14:CZ14"/>
    <mergeCell ref="DA14:DF14"/>
    <mergeCell ref="BT18:BW18"/>
    <mergeCell ref="CQ15:CS15"/>
    <mergeCell ref="CT15:CV15"/>
    <mergeCell ref="CW15:CZ15"/>
    <mergeCell ref="DA15:DF15"/>
    <mergeCell ref="CQ14:CS14"/>
    <mergeCell ref="CJ16:CP16"/>
    <mergeCell ref="CT12:CV12"/>
    <mergeCell ref="DA12:DF12"/>
    <mergeCell ref="BT13:BW13"/>
    <mergeCell ref="BT14:BW14"/>
    <mergeCell ref="BT15:BW15"/>
    <mergeCell ref="CQ12:CS12"/>
    <mergeCell ref="BX12:BZ12"/>
    <mergeCell ref="CQ13:CS13"/>
    <mergeCell ref="CJ12:CP12"/>
    <mergeCell ref="BT12:BW12"/>
    <mergeCell ref="BA13:BJ13"/>
    <mergeCell ref="BA14:BJ14"/>
    <mergeCell ref="BA15:BJ15"/>
    <mergeCell ref="BA11:BJ11"/>
    <mergeCell ref="BK11:BS11"/>
    <mergeCell ref="BK10:BS10"/>
    <mergeCell ref="BK13:BS13"/>
    <mergeCell ref="BK14:BS14"/>
    <mergeCell ref="BA12:BJ12"/>
    <mergeCell ref="BK12:BS12"/>
    <mergeCell ref="BK15:BS15"/>
    <mergeCell ref="AS13:AZ13"/>
    <mergeCell ref="AS14:AZ14"/>
    <mergeCell ref="AS15:AZ15"/>
    <mergeCell ref="AS16:AZ16"/>
    <mergeCell ref="AS12:AZ12"/>
    <mergeCell ref="AO10:AR10"/>
    <mergeCell ref="AS17:AZ17"/>
    <mergeCell ref="AS18:AZ18"/>
    <mergeCell ref="AO15:AR15"/>
    <mergeCell ref="AO13:AR13"/>
    <mergeCell ref="AO14:AR14"/>
    <mergeCell ref="AO12:AR12"/>
    <mergeCell ref="AH18:AJ18"/>
    <mergeCell ref="AK17:AN17"/>
    <mergeCell ref="AO17:AR17"/>
    <mergeCell ref="AO18:AR18"/>
    <mergeCell ref="AH15:AJ15"/>
    <mergeCell ref="AH16:AJ16"/>
    <mergeCell ref="AH17:AJ17"/>
    <mergeCell ref="W18:X18"/>
    <mergeCell ref="Z9:AF9"/>
    <mergeCell ref="Z10:AF10"/>
    <mergeCell ref="Z13:AF13"/>
    <mergeCell ref="Z14:AF14"/>
    <mergeCell ref="Z15:AF15"/>
    <mergeCell ref="Z16:AF16"/>
    <mergeCell ref="Z17:AF17"/>
    <mergeCell ref="Z18:AF18"/>
    <mergeCell ref="W15:X15"/>
    <mergeCell ref="S18:T18"/>
    <mergeCell ref="O10:Q10"/>
    <mergeCell ref="O13:Q13"/>
    <mergeCell ref="O14:Q14"/>
    <mergeCell ref="S11:T11"/>
    <mergeCell ref="S16:T16"/>
    <mergeCell ref="W10:X10"/>
    <mergeCell ref="S13:T13"/>
    <mergeCell ref="W13:X13"/>
    <mergeCell ref="S14:T14"/>
    <mergeCell ref="W14:X14"/>
    <mergeCell ref="W12:X12"/>
    <mergeCell ref="W11:X11"/>
    <mergeCell ref="W16:X16"/>
    <mergeCell ref="S17:T17"/>
    <mergeCell ref="W17:X17"/>
    <mergeCell ref="O16:Q16"/>
    <mergeCell ref="O17:Q17"/>
    <mergeCell ref="O15:Q15"/>
    <mergeCell ref="O11:Q11"/>
    <mergeCell ref="B3:K3"/>
    <mergeCell ref="L3:S3"/>
    <mergeCell ref="B8:F18"/>
    <mergeCell ref="K18:N18"/>
    <mergeCell ref="G13:J13"/>
    <mergeCell ref="T3:X3"/>
    <mergeCell ref="G6:L6"/>
    <mergeCell ref="M6:P6"/>
    <mergeCell ref="AD4:AF4"/>
    <mergeCell ref="M5:P5"/>
    <mergeCell ref="G18:J18"/>
    <mergeCell ref="K9:N9"/>
    <mergeCell ref="K10:N10"/>
    <mergeCell ref="K13:N13"/>
    <mergeCell ref="K14:N14"/>
    <mergeCell ref="K15:N15"/>
    <mergeCell ref="G10:J10"/>
    <mergeCell ref="G14:J14"/>
    <mergeCell ref="K16:N16"/>
    <mergeCell ref="K17:N17"/>
    <mergeCell ref="O8:R8"/>
    <mergeCell ref="S8:Y8"/>
    <mergeCell ref="Z8:AF8"/>
    <mergeCell ref="G9:J9"/>
    <mergeCell ref="S36:Z36"/>
    <mergeCell ref="S37:Z37"/>
    <mergeCell ref="G8:J8"/>
    <mergeCell ref="K8:N8"/>
    <mergeCell ref="AJ5:AL5"/>
    <mergeCell ref="AM5:AO5"/>
    <mergeCell ref="AJ4:AL4"/>
    <mergeCell ref="AG4:AI4"/>
    <mergeCell ref="AG8:AJ8"/>
    <mergeCell ref="G11:J11"/>
    <mergeCell ref="S9:T9"/>
    <mergeCell ref="S10:T10"/>
    <mergeCell ref="AK9:AN9"/>
    <mergeCell ref="AK10:AN10"/>
    <mergeCell ref="G15:J15"/>
    <mergeCell ref="G16:J16"/>
    <mergeCell ref="K11:N11"/>
    <mergeCell ref="G17:J17"/>
    <mergeCell ref="O18:Q18"/>
    <mergeCell ref="O9:Q9"/>
    <mergeCell ref="W9:X9"/>
    <mergeCell ref="AH9:AJ9"/>
    <mergeCell ref="AO9:AR9"/>
    <mergeCell ref="S15:T15"/>
    <mergeCell ref="CE38:CH38"/>
    <mergeCell ref="CI37:CJ37"/>
    <mergeCell ref="M37:P37"/>
    <mergeCell ref="Q37:R37"/>
    <mergeCell ref="M38:P38"/>
    <mergeCell ref="Q38:R38"/>
    <mergeCell ref="M39:P39"/>
    <mergeCell ref="Q39:R39"/>
    <mergeCell ref="B33:F34"/>
    <mergeCell ref="G33:L34"/>
    <mergeCell ref="M33:DZ33"/>
    <mergeCell ref="M34:DZ34"/>
    <mergeCell ref="CT35:DZ35"/>
    <mergeCell ref="CT36:DZ36"/>
    <mergeCell ref="CT37:DZ37"/>
    <mergeCell ref="CT38:DZ38"/>
    <mergeCell ref="CT39:DZ39"/>
    <mergeCell ref="AA37:AD37"/>
    <mergeCell ref="AE37:AF37"/>
    <mergeCell ref="AG37:AN37"/>
    <mergeCell ref="AA38:AD38"/>
    <mergeCell ref="AE39:AF39"/>
    <mergeCell ref="AE38:AF38"/>
    <mergeCell ref="AG38:AN38"/>
    <mergeCell ref="AO38:AR38"/>
    <mergeCell ref="AS38:AT38"/>
    <mergeCell ref="AS35:AT35"/>
    <mergeCell ref="AU35:BB35"/>
    <mergeCell ref="AO36:AR36"/>
    <mergeCell ref="AS36:AT36"/>
    <mergeCell ref="AU36:BB36"/>
    <mergeCell ref="CI35:CJ35"/>
    <mergeCell ref="BI37:BP37"/>
    <mergeCell ref="BQ37:BT37"/>
    <mergeCell ref="BU37:BV37"/>
    <mergeCell ref="BW37:CD37"/>
    <mergeCell ref="CE37:CH37"/>
    <mergeCell ref="BI35:BP35"/>
    <mergeCell ref="BQ35:BT35"/>
    <mergeCell ref="CE36:CH36"/>
    <mergeCell ref="CI36:CJ36"/>
    <mergeCell ref="BQ36:BT36"/>
    <mergeCell ref="BI36:BP36"/>
    <mergeCell ref="CE35:CH35"/>
    <mergeCell ref="BC37:BF37"/>
    <mergeCell ref="BG37:BH37"/>
    <mergeCell ref="BC38:BF38"/>
    <mergeCell ref="BG38:BH38"/>
    <mergeCell ref="S38:Z38"/>
    <mergeCell ref="AS39:AT39"/>
    <mergeCell ref="AU39:BB39"/>
    <mergeCell ref="AO39:AR39"/>
    <mergeCell ref="M35:P35"/>
    <mergeCell ref="Q35:R35"/>
    <mergeCell ref="S35:Z35"/>
    <mergeCell ref="AA35:AD35"/>
    <mergeCell ref="BU36:BV36"/>
    <mergeCell ref="AO35:AR35"/>
    <mergeCell ref="BU35:BV35"/>
    <mergeCell ref="BC36:BF36"/>
    <mergeCell ref="AE35:AF35"/>
    <mergeCell ref="AG35:AN35"/>
    <mergeCell ref="M36:P36"/>
    <mergeCell ref="Q36:R36"/>
    <mergeCell ref="BC35:BF35"/>
    <mergeCell ref="BG35:BH35"/>
    <mergeCell ref="AA36:AD36"/>
    <mergeCell ref="AE36:AF36"/>
    <mergeCell ref="AG36:AN36"/>
    <mergeCell ref="BG36:BH36"/>
    <mergeCell ref="AO37:AR37"/>
    <mergeCell ref="AS37:AT37"/>
    <mergeCell ref="AG39:AN39"/>
    <mergeCell ref="BI40:BP40"/>
    <mergeCell ref="M40:P40"/>
    <mergeCell ref="Q40:R40"/>
    <mergeCell ref="S40:Z40"/>
    <mergeCell ref="AA40:AD40"/>
    <mergeCell ref="BC39:BF39"/>
    <mergeCell ref="BG39:BH39"/>
    <mergeCell ref="S39:Z39"/>
    <mergeCell ref="AA39:AD39"/>
    <mergeCell ref="AO40:AR40"/>
    <mergeCell ref="AS40:AT40"/>
    <mergeCell ref="AE40:AF40"/>
    <mergeCell ref="AG40:AN40"/>
    <mergeCell ref="BI39:BP39"/>
    <mergeCell ref="B35:F41"/>
    <mergeCell ref="G35:L41"/>
    <mergeCell ref="BU41:BV41"/>
    <mergeCell ref="BW41:CD41"/>
    <mergeCell ref="CE41:CH41"/>
    <mergeCell ref="CI41:CJ41"/>
    <mergeCell ref="AU41:BB41"/>
    <mergeCell ref="BC41:BF41"/>
    <mergeCell ref="BG41:BH41"/>
    <mergeCell ref="BI41:BP41"/>
    <mergeCell ref="CI40:CJ40"/>
    <mergeCell ref="BC40:BF40"/>
    <mergeCell ref="BG40:BH40"/>
    <mergeCell ref="BW40:CD40"/>
    <mergeCell ref="BQ41:BT41"/>
    <mergeCell ref="M41:P41"/>
    <mergeCell ref="Q41:R41"/>
    <mergeCell ref="S41:Z41"/>
    <mergeCell ref="AA41:AD41"/>
    <mergeCell ref="AE41:AF41"/>
    <mergeCell ref="AG41:AN41"/>
    <mergeCell ref="AO41:AR41"/>
    <mergeCell ref="AS41:AT41"/>
    <mergeCell ref="AU40:BB40"/>
    <mergeCell ref="CK41:CR41"/>
    <mergeCell ref="CK40:CR40"/>
    <mergeCell ref="BU38:BV38"/>
    <mergeCell ref="BW38:CD38"/>
    <mergeCell ref="BW36:CD36"/>
    <mergeCell ref="BW35:CD35"/>
    <mergeCell ref="AU37:BB37"/>
    <mergeCell ref="AU38:BB38"/>
    <mergeCell ref="CK35:CR35"/>
    <mergeCell ref="CK36:CR36"/>
    <mergeCell ref="CE40:CH40"/>
    <mergeCell ref="CK37:CR37"/>
    <mergeCell ref="BQ40:BT40"/>
    <mergeCell ref="BU40:BV40"/>
    <mergeCell ref="BI38:BP38"/>
    <mergeCell ref="BQ38:BT38"/>
    <mergeCell ref="CE39:CH39"/>
    <mergeCell ref="BQ39:BT39"/>
    <mergeCell ref="BU39:BV39"/>
    <mergeCell ref="BW39:CD39"/>
    <mergeCell ref="CI39:CJ39"/>
    <mergeCell ref="CK39:CR39"/>
    <mergeCell ref="CI38:CJ38"/>
    <mergeCell ref="CK38:CR38"/>
    <mergeCell ref="CW12:CZ12"/>
    <mergeCell ref="BG6:BL6"/>
    <mergeCell ref="BM5:BT5"/>
    <mergeCell ref="BM6:BT6"/>
    <mergeCell ref="BA8:BJ8"/>
    <mergeCell ref="BK8:BS8"/>
    <mergeCell ref="BT8:BW8"/>
    <mergeCell ref="DV8:DZ8"/>
    <mergeCell ref="DL8:DP8"/>
    <mergeCell ref="DG8:DK8"/>
    <mergeCell ref="CB8:CE8"/>
    <mergeCell ref="CF8:CP8"/>
    <mergeCell ref="CQ8:CV8"/>
    <mergeCell ref="DA10:DF10"/>
    <mergeCell ref="DG9:DK9"/>
    <mergeCell ref="BA9:BJ9"/>
    <mergeCell ref="BT9:BW9"/>
    <mergeCell ref="DA9:DF9"/>
    <mergeCell ref="CW8:DF8"/>
    <mergeCell ref="BA10:BJ10"/>
    <mergeCell ref="CQ9:CS9"/>
    <mergeCell ref="CT9:CV9"/>
    <mergeCell ref="CQ10:CS10"/>
    <mergeCell ref="CT10:CV10"/>
    <mergeCell ref="DN6:DR6"/>
    <mergeCell ref="DN7:DR7"/>
    <mergeCell ref="AK8:AR8"/>
    <mergeCell ref="BX8:CA8"/>
    <mergeCell ref="BT10:BW10"/>
    <mergeCell ref="DQ8:DU8"/>
    <mergeCell ref="DQ10:DU10"/>
    <mergeCell ref="DV10:DZ10"/>
    <mergeCell ref="DQ9:DU9"/>
    <mergeCell ref="DV9:DZ9"/>
    <mergeCell ref="AQ6:AU6"/>
    <mergeCell ref="DL10:DP10"/>
    <mergeCell ref="DL9:DP9"/>
    <mergeCell ref="AS10:AZ10"/>
    <mergeCell ref="BK9:BS9"/>
    <mergeCell ref="CW9:CZ9"/>
    <mergeCell ref="CW10:CZ10"/>
    <mergeCell ref="DS6:DZ6"/>
    <mergeCell ref="DS7:DZ7"/>
    <mergeCell ref="AS8:AZ8"/>
    <mergeCell ref="AS9:AZ9"/>
    <mergeCell ref="DV11:DZ11"/>
    <mergeCell ref="G12:J12"/>
    <mergeCell ref="K12:N12"/>
    <mergeCell ref="O12:Q12"/>
    <mergeCell ref="S12:T12"/>
    <mergeCell ref="Z12:AF12"/>
    <mergeCell ref="AH12:AJ12"/>
    <mergeCell ref="AK12:AN12"/>
    <mergeCell ref="AS11:AZ11"/>
    <mergeCell ref="CT11:CV11"/>
    <mergeCell ref="Z11:AF11"/>
    <mergeCell ref="AH11:AJ11"/>
    <mergeCell ref="AK11:AN11"/>
    <mergeCell ref="AO11:AR11"/>
    <mergeCell ref="DL11:DP11"/>
    <mergeCell ref="DQ11:DU11"/>
    <mergeCell ref="CW11:CZ11"/>
    <mergeCell ref="DG11:DK11"/>
    <mergeCell ref="DQ12:DU12"/>
    <mergeCell ref="DA11:DF11"/>
    <mergeCell ref="DV12:DZ12"/>
    <mergeCell ref="BT11:BW11"/>
    <mergeCell ref="DG12:DK12"/>
    <mergeCell ref="DL12:DP12"/>
  </mergeCells>
  <phoneticPr fontId="2"/>
  <dataValidations count="1">
    <dataValidation type="list" allowBlank="1" showInputMessage="1" showErrorMessage="1" sqref="CZ5:DB5">
      <formula1>"1,2,3,4,5,6,7,8,9,10,11,12"</formula1>
    </dataValidation>
  </dataValidations>
  <pageMargins left="0.43" right="0.31" top="0.51" bottom="0.53" header="0.51200000000000001" footer="0.51200000000000001"/>
  <pageSetup paperSize="9" scale="6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連絡表</vt:lpstr>
      <vt:lpstr>取引先コード</vt:lpstr>
      <vt:lpstr>連絡表 (サンプル２)</vt:lpstr>
      <vt:lpstr>連絡表(ｻﾝﾌﾟﾙ)</vt:lpstr>
      <vt:lpstr>連絡表!Print_Area</vt:lpstr>
      <vt:lpstr>'連絡表 (サンプル２)'!Print_Area</vt:lpstr>
      <vt:lpstr>'連絡表(ｻﾝﾌﾟﾙ)'!Print_Area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k.mimura</dc:creator>
  <cp:lastModifiedBy>ECTユーザー 002</cp:lastModifiedBy>
  <cp:lastPrinted>2016-01-05T11:02:17Z</cp:lastPrinted>
  <dcterms:created xsi:type="dcterms:W3CDTF">2010-04-15T06:41:16Z</dcterms:created>
  <dcterms:modified xsi:type="dcterms:W3CDTF">2017-05-09T05:01:46Z</dcterms:modified>
</cp:coreProperties>
</file>